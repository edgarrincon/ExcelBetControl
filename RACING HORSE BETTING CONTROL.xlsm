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dgar\Documents\DEV PROJECTS\"/>
    </mc:Choice>
  </mc:AlternateContent>
  <bookViews>
    <workbookView xWindow="-15" yWindow="45" windowWidth="15480" windowHeight="11565" activeTab="1"/>
  </bookViews>
  <sheets>
    <sheet name="TAQUILLA" sheetId="3" r:id="rId1"/>
    <sheet name="REGISTRO" sheetId="1" r:id="rId2"/>
    <sheet name="RECARGA" sheetId="2" r:id="rId3"/>
    <sheet name="EFECTIVO" sheetId="4" r:id="rId4"/>
    <sheet name="CUADRE" sheetId="5" r:id="rId5"/>
    <sheet name="HISTORIALREGISTRO" sheetId="6" r:id="rId6"/>
    <sheet name="HISTORIALBORRAR" sheetId="7" r:id="rId7"/>
  </sheets>
  <definedNames>
    <definedName name="_xlnm._FilterDatabase" localSheetId="6" hidden="1">HISTORIALBORRAR!$A$1:$I$1</definedName>
    <definedName name="_xlnm._FilterDatabase" localSheetId="5" hidden="1">HISTORIALREGISTRO!$A$1:$M$5</definedName>
    <definedName name="_xlnm._FilterDatabase" localSheetId="2" hidden="1">RECARGA!$A$1:$F$1</definedName>
    <definedName name="_xlnm._FilterDatabase" localSheetId="1" hidden="1">REGISTRO!#REF!</definedName>
    <definedName name="_xlnm._FilterDatabase" localSheetId="0" hidden="1">TAQUILLA!$A$1:$I$9</definedName>
  </definedNames>
  <calcPr calcId="162913"/>
</workbook>
</file>

<file path=xl/calcChain.xml><?xml version="1.0" encoding="utf-8"?>
<calcChain xmlns="http://schemas.openxmlformats.org/spreadsheetml/2006/main">
  <c r="C19" i="5" l="1"/>
  <c r="I1" i="2" l="1"/>
  <c r="L1" i="3"/>
  <c r="N1" i="3"/>
  <c r="P1" i="3" l="1"/>
  <c r="O78" i="4"/>
  <c r="N78" i="4"/>
  <c r="L78" i="4"/>
  <c r="K78" i="4"/>
  <c r="I78" i="4"/>
  <c r="H78" i="4"/>
  <c r="F78" i="4"/>
  <c r="E78" i="4"/>
  <c r="C78" i="4"/>
  <c r="B78" i="4"/>
  <c r="O58" i="4"/>
  <c r="N58" i="4"/>
  <c r="L58" i="4"/>
  <c r="K58" i="4"/>
  <c r="I58" i="4"/>
  <c r="H58" i="4"/>
  <c r="F58" i="4"/>
  <c r="E58" i="4"/>
  <c r="C58" i="4"/>
  <c r="B58" i="4"/>
  <c r="O38" i="4"/>
  <c r="N39" i="4" s="1"/>
  <c r="N38" i="4"/>
  <c r="L38" i="4"/>
  <c r="K38" i="4"/>
  <c r="I38" i="4"/>
  <c r="H39" i="4" s="1"/>
  <c r="H38" i="4"/>
  <c r="F38" i="4"/>
  <c r="E39" i="4" s="1"/>
  <c r="E38" i="4"/>
  <c r="C38" i="4"/>
  <c r="B38" i="4"/>
  <c r="B79" i="4" l="1"/>
  <c r="E79" i="4"/>
  <c r="H79" i="4"/>
  <c r="B59" i="4"/>
  <c r="E59" i="4"/>
  <c r="H59" i="4"/>
  <c r="K59" i="4"/>
  <c r="N59" i="4"/>
  <c r="N79" i="4"/>
  <c r="K79" i="4"/>
  <c r="K39" i="4"/>
  <c r="B39" i="4"/>
  <c r="C18" i="4"/>
  <c r="E18" i="4"/>
  <c r="F18" i="4"/>
  <c r="H18" i="4"/>
  <c r="I18" i="4"/>
  <c r="K18" i="4"/>
  <c r="L18" i="4"/>
  <c r="N18" i="4"/>
  <c r="O18" i="4"/>
  <c r="B18" i="4"/>
  <c r="C5" i="5" l="1"/>
  <c r="C22" i="5" l="1"/>
  <c r="C21" i="5"/>
  <c r="C20" i="5"/>
  <c r="C18" i="5"/>
  <c r="C17" i="5"/>
  <c r="C16" i="5"/>
  <c r="C15" i="5"/>
  <c r="E9" i="5"/>
  <c r="E8" i="5"/>
  <c r="E7" i="5"/>
  <c r="E6" i="5"/>
  <c r="E5" i="5"/>
  <c r="E4" i="5"/>
  <c r="D9" i="5"/>
  <c r="D8" i="5"/>
  <c r="D7" i="5"/>
  <c r="D6" i="5"/>
  <c r="D5" i="5"/>
  <c r="I5" i="5" s="1"/>
  <c r="D4" i="5"/>
  <c r="C9" i="5"/>
  <c r="C8" i="5"/>
  <c r="C7" i="5"/>
  <c r="C6" i="5"/>
  <c r="C4" i="5"/>
  <c r="C23" i="5" l="1"/>
  <c r="I4" i="5"/>
  <c r="I6" i="5"/>
  <c r="I8" i="5"/>
  <c r="I7" i="5"/>
  <c r="I9" i="5"/>
  <c r="C11" i="5"/>
  <c r="D11" i="5"/>
  <c r="E11" i="5"/>
  <c r="N19" i="4"/>
  <c r="K19" i="4"/>
  <c r="E19" i="4"/>
  <c r="H19" i="4" l="1"/>
  <c r="M1" i="1"/>
  <c r="B23" i="5" s="1"/>
  <c r="D24" i="5" s="1"/>
  <c r="F11" i="5"/>
  <c r="B19" i="4"/>
  <c r="B28" i="5" l="1"/>
  <c r="E28" i="5" s="1"/>
  <c r="F28" i="5" s="1"/>
</calcChain>
</file>

<file path=xl/sharedStrings.xml><?xml version="1.0" encoding="utf-8"?>
<sst xmlns="http://schemas.openxmlformats.org/spreadsheetml/2006/main" count="202" uniqueCount="62">
  <si>
    <t>APOSTADO</t>
  </si>
  <si>
    <t>GANADO</t>
  </si>
  <si>
    <t>RECARGADO</t>
  </si>
  <si>
    <t>SALDO</t>
  </si>
  <si>
    <t>NOMBRE</t>
  </si>
  <si>
    <t>MONTO</t>
  </si>
  <si>
    <t>ORIGEN</t>
  </si>
  <si>
    <t>FECHA</t>
  </si>
  <si>
    <t>HORA</t>
  </si>
  <si>
    <t>USUARIO</t>
  </si>
  <si>
    <t>NAC2</t>
  </si>
  <si>
    <t>TRANSFERIDO</t>
  </si>
  <si>
    <t>N° CABALLO</t>
  </si>
  <si>
    <t>CRÉDITO</t>
  </si>
  <si>
    <t>NAC1</t>
  </si>
  <si>
    <t>REMATE</t>
  </si>
  <si>
    <t>COMENTARIO</t>
  </si>
  <si>
    <t>TRANSFERIR PARTE</t>
  </si>
  <si>
    <t>TODO A FONDOS</t>
  </si>
  <si>
    <t>PARTE A TRANSFERIR</t>
  </si>
  <si>
    <t>FONDO RESTANTE</t>
  </si>
  <si>
    <t>INFO</t>
  </si>
  <si>
    <t>JUGADO</t>
  </si>
  <si>
    <t>RECARGA</t>
  </si>
  <si>
    <t>INGRESOS</t>
  </si>
  <si>
    <t>ORIGEN DE CRÉDITOS</t>
  </si>
  <si>
    <t>CREDITOS</t>
  </si>
  <si>
    <t>RECARGAS</t>
  </si>
  <si>
    <t>T.I. RECIBIDAS</t>
  </si>
  <si>
    <t>TAQUILLA</t>
  </si>
  <si>
    <t>EGRESOS</t>
  </si>
  <si>
    <t>SALDO CLIENTES</t>
  </si>
  <si>
    <t>T.I. ENVIADAS</t>
  </si>
  <si>
    <t>BALANCE GLOBAL</t>
  </si>
  <si>
    <t>UTILIDAD TAQUILLA</t>
  </si>
  <si>
    <t>EFECTIVO</t>
  </si>
  <si>
    <t>SISTEMA</t>
  </si>
  <si>
    <t>TOTALES</t>
  </si>
  <si>
    <t xml:space="preserve">ASIMETRÍA </t>
  </si>
  <si>
    <t>LICORES</t>
  </si>
  <si>
    <t>TOTAL ENVIADO</t>
  </si>
  <si>
    <t>FONDOS</t>
  </si>
  <si>
    <t>TB BOD</t>
  </si>
  <si>
    <t>TB BANESCO</t>
  </si>
  <si>
    <t>PUNTO BOD</t>
  </si>
  <si>
    <t>TOTAL DE INGRESOS</t>
  </si>
  <si>
    <t>TOTAL DE EGRESOS</t>
  </si>
  <si>
    <t>UTILIDAD REAL</t>
  </si>
  <si>
    <t>PROPINA</t>
  </si>
  <si>
    <t>TRANSFERIR TODO</t>
  </si>
  <si>
    <t>CREDITOS + RECARGAS</t>
  </si>
  <si>
    <t>CLIENTE</t>
  </si>
  <si>
    <t>TOTAL</t>
  </si>
  <si>
    <t>BAL. JUGADAS</t>
  </si>
  <si>
    <t>TB PROVINCIAL</t>
  </si>
  <si>
    <t>FONDO</t>
  </si>
  <si>
    <t>TRS2</t>
  </si>
  <si>
    <t>TRS3</t>
  </si>
  <si>
    <t>TRS5</t>
  </si>
  <si>
    <t>TRS4</t>
  </si>
  <si>
    <t>TRS1</t>
  </si>
  <si>
    <t>PARLEY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</si>
</sst>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h:mm\ AM/PM;@"/>
    <numFmt numFmtId="165" formatCode="_-* #,##0\ _€_-;\-* #,##0\ _€_-;_-* &quot;-&quot;??\ _€_-;_-@_-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5"/>
      <name val="Arial"/>
      <family val="2"/>
    </font>
    <font>
      <sz val="10"/>
      <color indexed="9"/>
      <name val="Arial Rounded MT Bold"/>
      <family val="2"/>
    </font>
    <font>
      <b/>
      <i/>
      <sz val="10"/>
      <color indexed="9"/>
      <name val="Arial Rounded MT Bold"/>
      <family val="2"/>
    </font>
    <font>
      <sz val="5"/>
      <color indexed="8"/>
      <name val="Arial Rounded MT Bold"/>
      <family val="2"/>
    </font>
    <font>
      <sz val="10.5"/>
      <color indexed="8"/>
      <name val="Arial Rounded MT Bold"/>
      <family val="2"/>
    </font>
    <font>
      <b/>
      <sz val="5"/>
      <color indexed="8"/>
      <name val="Arial Rounded MT Bold"/>
      <family val="2"/>
    </font>
    <font>
      <sz val="7"/>
      <color indexed="8"/>
      <name val="Arial Rounded MT Bold"/>
      <family val="2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sz val="22"/>
      <color theme="0" tint="-4.9989318521683403E-2"/>
      <name val="Calibri"/>
      <family val="2"/>
      <scheme val="minor"/>
    </font>
    <font>
      <sz val="20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rgb="FFFF0000"/>
      <name val="Calibri"/>
      <family val="2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14"/>
      </left>
      <right/>
      <top style="medium">
        <color indexed="14"/>
      </top>
      <bottom style="medium">
        <color indexed="14"/>
      </bottom>
      <diagonal/>
    </border>
    <border>
      <left/>
      <right style="medium">
        <color indexed="14"/>
      </right>
      <top style="medium">
        <color indexed="14"/>
      </top>
      <bottom style="medium">
        <color indexed="1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79">
    <xf numFmtId="0" fontId="0" fillId="0" borderId="0" xfId="0"/>
    <xf numFmtId="14" fontId="1" fillId="0" borderId="0" xfId="0" applyNumberFormat="1" applyFont="1"/>
    <xf numFmtId="0" fontId="1" fillId="0" borderId="0" xfId="0" applyFont="1"/>
    <xf numFmtId="14" fontId="0" fillId="0" borderId="0" xfId="0" applyNumberFormat="1"/>
    <xf numFmtId="0" fontId="0" fillId="2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0" borderId="0" xfId="0" applyNumberFormat="1"/>
    <xf numFmtId="14" fontId="0" fillId="2" borderId="1" xfId="0" applyNumberFormat="1" applyFill="1" applyBorder="1" applyAlignment="1">
      <alignment horizontal="center"/>
    </xf>
    <xf numFmtId="3" fontId="0" fillId="0" borderId="0" xfId="0" applyNumberFormat="1"/>
    <xf numFmtId="3" fontId="0" fillId="2" borderId="1" xfId="0" applyNumberFormat="1" applyFill="1" applyBorder="1" applyAlignment="1">
      <alignment horizontal="center"/>
    </xf>
    <xf numFmtId="3" fontId="0" fillId="2" borderId="2" xfId="0" applyNumberFormat="1" applyFill="1" applyBorder="1" applyAlignment="1">
      <alignment horizontal="center"/>
    </xf>
    <xf numFmtId="0" fontId="0" fillId="0" borderId="1" xfId="0" applyBorder="1"/>
    <xf numFmtId="164" fontId="1" fillId="2" borderId="1" xfId="0" applyNumberFormat="1" applyFont="1" applyFill="1" applyBorder="1" applyAlignment="1">
      <alignment horizontal="center"/>
    </xf>
    <xf numFmtId="0" fontId="3" fillId="3" borderId="3" xfId="0" applyFont="1" applyFill="1" applyBorder="1" applyProtection="1"/>
    <xf numFmtId="0" fontId="6" fillId="0" borderId="6" xfId="0" applyFont="1" applyFill="1" applyBorder="1" applyProtection="1">
      <protection locked="0"/>
    </xf>
    <xf numFmtId="0" fontId="6" fillId="0" borderId="9" xfId="0" applyFont="1" applyFill="1" applyBorder="1" applyProtection="1">
      <protection locked="0"/>
    </xf>
    <xf numFmtId="165" fontId="7" fillId="3" borderId="10" xfId="1" applyNumberFormat="1" applyFont="1" applyFill="1" applyBorder="1" applyAlignment="1" applyProtection="1">
      <alignment horizontal="center"/>
      <protection locked="0"/>
    </xf>
    <xf numFmtId="165" fontId="7" fillId="3" borderId="1" xfId="1" applyNumberFormat="1" applyFont="1" applyFill="1" applyBorder="1" applyAlignment="1" applyProtection="1">
      <alignment horizontal="center"/>
      <protection locked="0"/>
    </xf>
    <xf numFmtId="0" fontId="6" fillId="0" borderId="11" xfId="0" applyFont="1" applyFill="1" applyBorder="1" applyProtection="1">
      <protection locked="0"/>
    </xf>
    <xf numFmtId="165" fontId="7" fillId="3" borderId="13" xfId="1" applyNumberFormat="1" applyFont="1" applyFill="1" applyBorder="1" applyAlignment="1" applyProtection="1">
      <alignment horizontal="center"/>
    </xf>
    <xf numFmtId="165" fontId="9" fillId="0" borderId="6" xfId="1" applyNumberFormat="1" applyFont="1" applyFill="1" applyBorder="1" applyProtection="1">
      <protection locked="0"/>
    </xf>
    <xf numFmtId="0" fontId="1" fillId="2" borderId="18" xfId="0" applyFont="1" applyFill="1" applyBorder="1" applyAlignment="1">
      <alignment horizontal="center"/>
    </xf>
    <xf numFmtId="14" fontId="1" fillId="2" borderId="18" xfId="0" applyNumberFormat="1" applyFont="1" applyFill="1" applyBorder="1" applyAlignment="1">
      <alignment horizontal="center"/>
    </xf>
    <xf numFmtId="0" fontId="11" fillId="2" borderId="17" xfId="0" applyFont="1" applyFill="1" applyBorder="1" applyAlignment="1">
      <alignment horizontal="center"/>
    </xf>
    <xf numFmtId="3" fontId="0" fillId="2" borderId="18" xfId="0" applyNumberFormat="1" applyFont="1" applyFill="1" applyBorder="1" applyAlignment="1">
      <alignment horizontal="center"/>
    </xf>
    <xf numFmtId="3" fontId="0" fillId="2" borderId="19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0" fillId="0" borderId="10" xfId="0" applyBorder="1" applyAlignment="1">
      <alignment horizontal="center"/>
    </xf>
    <xf numFmtId="0" fontId="12" fillId="8" borderId="0" xfId="0" applyFont="1" applyFill="1" applyBorder="1"/>
    <xf numFmtId="0" fontId="13" fillId="8" borderId="0" xfId="0" applyFont="1" applyFill="1" applyAlignment="1">
      <alignment horizontal="center"/>
    </xf>
    <xf numFmtId="3" fontId="0" fillId="2" borderId="2" xfId="0" applyNumberFormat="1" applyFill="1" applyBorder="1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/>
    <xf numFmtId="0" fontId="14" fillId="2" borderId="1" xfId="0" applyFont="1" applyFill="1" applyBorder="1" applyAlignment="1">
      <alignment horizontal="center"/>
    </xf>
    <xf numFmtId="3" fontId="0" fillId="0" borderId="1" xfId="0" applyNumberFormat="1" applyBorder="1"/>
    <xf numFmtId="3" fontId="0" fillId="0" borderId="1" xfId="0" applyNumberFormat="1" applyBorder="1" applyAlignment="1">
      <alignment horizontal="center"/>
    </xf>
    <xf numFmtId="3" fontId="0" fillId="2" borderId="1" xfId="0" applyNumberFormat="1" applyFont="1" applyFill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0" fontId="0" fillId="0" borderId="14" xfId="0" applyFill="1" applyBorder="1"/>
    <xf numFmtId="3" fontId="0" fillId="0" borderId="14" xfId="0" applyNumberFormat="1" applyBorder="1"/>
    <xf numFmtId="3" fontId="0" fillId="9" borderId="20" xfId="0" applyNumberFormat="1" applyFill="1" applyBorder="1"/>
    <xf numFmtId="0" fontId="0" fillId="9" borderId="21" xfId="0" applyFill="1" applyBorder="1" applyAlignment="1">
      <alignment horizontal="left"/>
    </xf>
    <xf numFmtId="0" fontId="0" fillId="9" borderId="22" xfId="0" applyFill="1" applyBorder="1" applyAlignment="1">
      <alignment horizontal="left"/>
    </xf>
    <xf numFmtId="0" fontId="0" fillId="2" borderId="22" xfId="0" applyFill="1" applyBorder="1"/>
    <xf numFmtId="3" fontId="0" fillId="0" borderId="1" xfId="0" applyNumberFormat="1" applyBorder="1" applyProtection="1">
      <protection locked="0"/>
    </xf>
    <xf numFmtId="0" fontId="0" fillId="11" borderId="1" xfId="0" applyFill="1" applyBorder="1"/>
    <xf numFmtId="3" fontId="0" fillId="10" borderId="0" xfId="0" applyNumberFormat="1" applyFill="1" applyBorder="1"/>
    <xf numFmtId="3" fontId="0" fillId="2" borderId="20" xfId="0" applyNumberFormat="1" applyFill="1" applyBorder="1"/>
    <xf numFmtId="0" fontId="0" fillId="2" borderId="21" xfId="0" applyFill="1" applyBorder="1"/>
    <xf numFmtId="3" fontId="0" fillId="0" borderId="8" xfId="0" applyNumberFormat="1" applyBorder="1"/>
    <xf numFmtId="0" fontId="16" fillId="2" borderId="22" xfId="0" applyFont="1" applyFill="1" applyBorder="1"/>
    <xf numFmtId="0" fontId="17" fillId="2" borderId="20" xfId="0" applyFont="1" applyFill="1" applyBorder="1" applyAlignment="1">
      <alignment horizontal="left"/>
    </xf>
    <xf numFmtId="165" fontId="4" fillId="12" borderId="4" xfId="0" applyNumberFormat="1" applyFont="1" applyFill="1" applyBorder="1" applyAlignment="1"/>
    <xf numFmtId="0" fontId="6" fillId="0" borderId="15" xfId="0" applyFont="1" applyFill="1" applyBorder="1" applyProtection="1">
      <protection locked="0"/>
    </xf>
    <xf numFmtId="165" fontId="7" fillId="3" borderId="23" xfId="0" applyNumberFormat="1" applyFont="1" applyFill="1" applyBorder="1"/>
    <xf numFmtId="165" fontId="7" fillId="3" borderId="2" xfId="0" applyNumberFormat="1" applyFont="1" applyFill="1" applyBorder="1"/>
    <xf numFmtId="165" fontId="7" fillId="3" borderId="7" xfId="1" applyNumberFormat="1" applyFont="1" applyFill="1" applyBorder="1" applyAlignment="1" applyProtection="1">
      <alignment horizontal="center"/>
      <protection locked="0"/>
    </xf>
    <xf numFmtId="165" fontId="7" fillId="3" borderId="8" xfId="1" applyNumberFormat="1" applyFont="1" applyFill="1" applyBorder="1" applyAlignment="1" applyProtection="1">
      <alignment horizontal="center"/>
      <protection locked="0"/>
    </xf>
    <xf numFmtId="165" fontId="5" fillId="4" borderId="22" xfId="0" applyNumberFormat="1" applyFont="1" applyFill="1" applyBorder="1" applyAlignment="1" applyProtection="1">
      <protection locked="0"/>
    </xf>
    <xf numFmtId="165" fontId="5" fillId="4" borderId="20" xfId="0" applyNumberFormat="1" applyFont="1" applyFill="1" applyBorder="1" applyAlignment="1" applyProtection="1">
      <protection locked="0"/>
    </xf>
    <xf numFmtId="165" fontId="5" fillId="12" borderId="5" xfId="0" applyNumberFormat="1" applyFont="1" applyFill="1" applyBorder="1" applyAlignment="1" applyProtection="1"/>
    <xf numFmtId="0" fontId="6" fillId="0" borderId="24" xfId="0" applyFont="1" applyFill="1" applyBorder="1" applyProtection="1">
      <protection locked="0"/>
    </xf>
    <xf numFmtId="165" fontId="5" fillId="5" borderId="20" xfId="0" applyNumberFormat="1" applyFont="1" applyFill="1" applyBorder="1" applyAlignment="1" applyProtection="1">
      <protection locked="0"/>
    </xf>
    <xf numFmtId="165" fontId="5" fillId="5" borderId="22" xfId="0" applyNumberFormat="1" applyFont="1" applyFill="1" applyBorder="1" applyAlignment="1" applyProtection="1">
      <protection locked="0"/>
    </xf>
    <xf numFmtId="165" fontId="5" fillId="6" borderId="22" xfId="0" applyNumberFormat="1" applyFont="1" applyFill="1" applyBorder="1" applyAlignment="1" applyProtection="1">
      <protection locked="0"/>
    </xf>
    <xf numFmtId="165" fontId="5" fillId="6" borderId="20" xfId="0" applyNumberFormat="1" applyFont="1" applyFill="1" applyBorder="1" applyAlignment="1" applyProtection="1">
      <protection locked="0"/>
    </xf>
    <xf numFmtId="0" fontId="8" fillId="3" borderId="12" xfId="0" applyFont="1" applyFill="1" applyBorder="1" applyAlignment="1" applyProtection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9" fillId="2" borderId="0" xfId="0" applyFont="1" applyFill="1" applyBorder="1" applyAlignment="1">
      <alignment horizontal="center"/>
    </xf>
    <xf numFmtId="0" fontId="0" fillId="2" borderId="0" xfId="0" applyFill="1"/>
    <xf numFmtId="164" fontId="1" fillId="2" borderId="18" xfId="0" applyNumberFormat="1" applyFont="1" applyFill="1" applyBorder="1" applyAlignment="1">
      <alignment horizontal="center"/>
    </xf>
    <xf numFmtId="164" fontId="1" fillId="0" borderId="0" xfId="0" applyNumberFormat="1" applyFont="1"/>
    <xf numFmtId="165" fontId="10" fillId="7" borderId="15" xfId="1" applyNumberFormat="1" applyFont="1" applyFill="1" applyBorder="1" applyAlignment="1" applyProtection="1">
      <alignment horizontal="center" vertical="center"/>
    </xf>
    <xf numFmtId="165" fontId="10" fillId="7" borderId="16" xfId="1" applyNumberFormat="1" applyFont="1" applyFill="1" applyBorder="1" applyAlignment="1" applyProtection="1">
      <alignment horizontal="center" vertical="center"/>
    </xf>
  </cellXfs>
  <cellStyles count="2">
    <cellStyle name="Millares" xfId="1" builtinId="3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171450</xdr:colOff>
          <xdr:row>2</xdr:row>
          <xdr:rowOff>95250</xdr:rowOff>
        </xdr:from>
        <xdr:to>
          <xdr:col>12</xdr:col>
          <xdr:colOff>409575</xdr:colOff>
          <xdr:row>10</xdr:row>
          <xdr:rowOff>38100</xdr:rowOff>
        </xdr:to>
        <xdr:sp macro="" textlink="">
          <xdr:nvSpPr>
            <xdr:cNvPr id="1025" name="CBFORMULARIO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47625</xdr:rowOff>
        </xdr:from>
        <xdr:to>
          <xdr:col>13</xdr:col>
          <xdr:colOff>76200</xdr:colOff>
          <xdr:row>8</xdr:row>
          <xdr:rowOff>180975</xdr:rowOff>
        </xdr:to>
        <xdr:sp macro="" textlink="">
          <xdr:nvSpPr>
            <xdr:cNvPr id="2049" name="CBFORMULARIO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4</xdr:row>
          <xdr:rowOff>9525</xdr:rowOff>
        </xdr:from>
        <xdr:to>
          <xdr:col>16</xdr:col>
          <xdr:colOff>762000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AL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HISTORIAL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9525</xdr:rowOff>
        </xdr:from>
        <xdr:to>
          <xdr:col>9</xdr:col>
          <xdr:colOff>276225</xdr:colOff>
          <xdr:row>9</xdr:row>
          <xdr:rowOff>142875</xdr:rowOff>
        </xdr:to>
        <xdr:sp macro="" textlink="">
          <xdr:nvSpPr>
            <xdr:cNvPr id="3073" name="CBFORMULARIO3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19</xdr:row>
          <xdr:rowOff>95250</xdr:rowOff>
        </xdr:from>
        <xdr:to>
          <xdr:col>9</xdr:col>
          <xdr:colOff>104775</xdr:colOff>
          <xdr:row>19</xdr:row>
          <xdr:rowOff>742950</xdr:rowOff>
        </xdr:to>
        <xdr:sp macro="" textlink="">
          <xdr:nvSpPr>
            <xdr:cNvPr id="4097" name="CBFORMULARIO4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285750</xdr:colOff>
          <xdr:row>8</xdr:row>
          <xdr:rowOff>19050</xdr:rowOff>
        </xdr:from>
        <xdr:to>
          <xdr:col>18</xdr:col>
          <xdr:colOff>695325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BORRAR LAS CUENTAS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EN EFECTIVO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12</xdr:row>
          <xdr:rowOff>85725</xdr:rowOff>
        </xdr:from>
        <xdr:to>
          <xdr:col>8</xdr:col>
          <xdr:colOff>514350</xdr:colOff>
          <xdr:row>19</xdr:row>
          <xdr:rowOff>76200</xdr:rowOff>
        </xdr:to>
        <xdr:sp macro="" textlink="">
          <xdr:nvSpPr>
            <xdr:cNvPr id="5121" name="CBFORMULARIO5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4</xdr:row>
          <xdr:rowOff>133350</xdr:rowOff>
        </xdr:from>
        <xdr:to>
          <xdr:col>15</xdr:col>
          <xdr:colOff>752475</xdr:colOff>
          <xdr:row>12</xdr:row>
          <xdr:rowOff>76200</xdr:rowOff>
        </xdr:to>
        <xdr:sp macro="" textlink="">
          <xdr:nvSpPr>
            <xdr:cNvPr id="6147" name="CBFORMULARIO6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180975</xdr:colOff>
          <xdr:row>4</xdr:row>
          <xdr:rowOff>76200</xdr:rowOff>
        </xdr:from>
        <xdr:to>
          <xdr:col>12</xdr:col>
          <xdr:colOff>438150</xdr:colOff>
          <xdr:row>12</xdr:row>
          <xdr:rowOff>19050</xdr:rowOff>
        </xdr:to>
        <xdr:sp macro="" textlink="">
          <xdr:nvSpPr>
            <xdr:cNvPr id="7169" name="CBFORMULARIOHB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3" tint="-0.249977111117893"/>
  </sheetPr>
  <dimension ref="A1:P5"/>
  <sheetViews>
    <sheetView workbookViewId="0">
      <pane ySplit="1" topLeftCell="A2" activePane="bottomLeft" state="frozen"/>
      <selection pane="bottomLeft" activeCell="D21" sqref="D21"/>
    </sheetView>
  </sheetViews>
  <sheetFormatPr baseColWidth="10" defaultRowHeight="15" x14ac:dyDescent="0.25"/>
  <cols>
    <col min="1" max="1" width="27.7109375" customWidth="1"/>
    <col min="2" max="2" width="17.85546875" style="10" customWidth="1"/>
    <col min="3" max="3" width="14.28515625" style="10" customWidth="1"/>
    <col min="4" max="4" width="15.140625" style="10" customWidth="1"/>
    <col min="5" max="5" width="11.42578125" style="8"/>
    <col min="6" max="6" width="11.42578125" style="3"/>
    <col min="9" max="9" width="14.85546875" customWidth="1"/>
    <col min="10" max="10" width="3.28515625" customWidth="1"/>
    <col min="12" max="12" width="11.7109375" customWidth="1"/>
    <col min="14" max="14" width="15.42578125" customWidth="1"/>
    <col min="16" max="16" width="15.7109375" customWidth="1"/>
  </cols>
  <sheetData>
    <row r="1" spans="1:16" ht="15.75" x14ac:dyDescent="0.25">
      <c r="A1" s="36" t="s">
        <v>4</v>
      </c>
      <c r="B1" s="11" t="s">
        <v>0</v>
      </c>
      <c r="C1" s="11" t="s">
        <v>1</v>
      </c>
      <c r="D1" s="11" t="s">
        <v>11</v>
      </c>
      <c r="E1" s="7" t="s">
        <v>8</v>
      </c>
      <c r="F1" s="9" t="s">
        <v>7</v>
      </c>
      <c r="G1" s="4" t="s">
        <v>12</v>
      </c>
      <c r="H1" s="4" t="s">
        <v>9</v>
      </c>
      <c r="I1" s="4" t="s">
        <v>16</v>
      </c>
      <c r="K1" s="71" t="s">
        <v>0</v>
      </c>
      <c r="L1" s="10">
        <f>SUBTOTAL(9,B:B)</f>
        <v>0</v>
      </c>
      <c r="M1" s="72" t="s">
        <v>1</v>
      </c>
      <c r="N1" s="10">
        <f>SUBTOTAL(9,C:C)</f>
        <v>0</v>
      </c>
      <c r="O1" s="73" t="s">
        <v>53</v>
      </c>
      <c r="P1" s="10">
        <f>$N$1-$L$1</f>
        <v>0</v>
      </c>
    </row>
    <row r="2" spans="1:16" x14ac:dyDescent="0.25">
      <c r="B2"/>
      <c r="C2"/>
      <c r="D2"/>
    </row>
    <row r="3" spans="1:16" x14ac:dyDescent="0.25">
      <c r="B3"/>
      <c r="C3"/>
      <c r="D3"/>
    </row>
    <row r="4" spans="1:16" x14ac:dyDescent="0.25">
      <c r="B4"/>
      <c r="C4"/>
      <c r="D4"/>
    </row>
    <row r="5" spans="1:16" x14ac:dyDescent="0.25">
      <c r="B5"/>
      <c r="C5"/>
      <c r="D5"/>
    </row>
  </sheetData>
  <sheetProtection sheet="1" objects="1" scenarios="1" autoFilter="0"/>
  <autoFilter ref="A1:I9"/>
  <conditionalFormatting sqref="P1">
    <cfRule type="cellIs" dxfId="8" priority="1" operator="greaterThan">
      <formula>0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5" r:id="rId4" name="CBFORMULARIO1">
          <controlPr defaultSize="0" autoLine="0" r:id="rId5">
            <anchor>
              <from>
                <xdr:col>10</xdr:col>
                <xdr:colOff>171450</xdr:colOff>
                <xdr:row>2</xdr:row>
                <xdr:rowOff>95250</xdr:rowOff>
              </from>
              <to>
                <xdr:col>12</xdr:col>
                <xdr:colOff>409575</xdr:colOff>
                <xdr:row>10</xdr:row>
                <xdr:rowOff>38100</xdr:rowOff>
              </to>
            </anchor>
          </controlPr>
        </control>
      </mc:Choice>
      <mc:Fallback>
        <control shapeId="1025" r:id="rId4" name="CBFORMULARIO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M42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25.7109375" customWidth="1"/>
    <col min="2" max="2" width="11.85546875" style="10" customWidth="1"/>
    <col min="3" max="3" width="11.28515625" style="2" customWidth="1"/>
    <col min="4" max="4" width="12.28515625" style="1" customWidth="1"/>
    <col min="5" max="5" width="13.5703125" style="76" customWidth="1"/>
    <col min="6" max="6" width="7.140625" style="2" customWidth="1"/>
    <col min="7" max="7" width="13.7109375" style="10" customWidth="1"/>
    <col min="8" max="8" width="15" style="10" customWidth="1"/>
    <col min="9" max="9" width="15.28515625" style="10" customWidth="1"/>
    <col min="10" max="10" width="11.85546875" style="10" customWidth="1"/>
    <col min="11" max="11" width="6.28515625" customWidth="1"/>
    <col min="12" max="12" width="14.140625" customWidth="1"/>
  </cols>
  <sheetData>
    <row r="1" spans="1:13" ht="15.75" thickBot="1" x14ac:dyDescent="0.3">
      <c r="A1" s="25" t="s">
        <v>4</v>
      </c>
      <c r="B1" s="26" t="s">
        <v>5</v>
      </c>
      <c r="C1" s="23" t="s">
        <v>6</v>
      </c>
      <c r="D1" s="24" t="s">
        <v>7</v>
      </c>
      <c r="E1" s="75" t="s">
        <v>8</v>
      </c>
      <c r="F1" s="23" t="s">
        <v>9</v>
      </c>
      <c r="G1" s="26" t="s">
        <v>0</v>
      </c>
      <c r="H1" s="26" t="s">
        <v>1</v>
      </c>
      <c r="I1" s="26" t="s">
        <v>23</v>
      </c>
      <c r="J1" s="27" t="s">
        <v>3</v>
      </c>
      <c r="L1" s="39" t="s">
        <v>31</v>
      </c>
      <c r="M1" s="37">
        <f>SUBTOTAL(9,$J:$J)</f>
        <v>0</v>
      </c>
    </row>
    <row r="2" spans="1:13" x14ac:dyDescent="0.25">
      <c r="C2"/>
      <c r="D2" s="3"/>
      <c r="E2" s="8"/>
      <c r="F2"/>
    </row>
    <row r="3" spans="1:13" x14ac:dyDescent="0.25">
      <c r="C3"/>
      <c r="D3" s="3"/>
      <c r="E3" s="8"/>
      <c r="F3"/>
    </row>
    <row r="4" spans="1:13" x14ac:dyDescent="0.25">
      <c r="C4"/>
      <c r="D4" s="3"/>
      <c r="E4" s="8"/>
      <c r="F4"/>
    </row>
    <row r="5" spans="1:13" x14ac:dyDescent="0.25">
      <c r="C5"/>
      <c r="D5" s="3"/>
      <c r="E5" s="8"/>
      <c r="F5"/>
    </row>
    <row r="6" spans="1:13" x14ac:dyDescent="0.25">
      <c r="C6"/>
      <c r="D6" s="3"/>
      <c r="E6" s="8"/>
      <c r="F6"/>
    </row>
    <row r="7" spans="1:13" x14ac:dyDescent="0.25">
      <c r="C7"/>
      <c r="D7" s="3"/>
      <c r="E7" s="8"/>
      <c r="F7"/>
    </row>
    <row r="8" spans="1:13" x14ac:dyDescent="0.25">
      <c r="C8"/>
      <c r="D8" s="3"/>
      <c r="E8" s="8"/>
      <c r="F8"/>
    </row>
    <row r="9" spans="1:13" x14ac:dyDescent="0.25">
      <c r="C9"/>
      <c r="D9" s="3"/>
      <c r="E9" s="8"/>
      <c r="F9"/>
    </row>
    <row r="10" spans="1:13" x14ac:dyDescent="0.25">
      <c r="C10"/>
      <c r="D10"/>
      <c r="E10" s="8"/>
      <c r="F10"/>
    </row>
    <row r="11" spans="1:13" x14ac:dyDescent="0.25">
      <c r="C11"/>
      <c r="D11"/>
      <c r="E11" s="8"/>
      <c r="F11"/>
    </row>
    <row r="12" spans="1:13" x14ac:dyDescent="0.25">
      <c r="C12"/>
      <c r="D12"/>
      <c r="E12" s="8"/>
      <c r="F12"/>
    </row>
    <row r="13" spans="1:13" x14ac:dyDescent="0.25">
      <c r="C13"/>
      <c r="D13"/>
      <c r="E13" s="8"/>
      <c r="F13"/>
    </row>
    <row r="14" spans="1:13" x14ac:dyDescent="0.25">
      <c r="C14"/>
      <c r="D14"/>
      <c r="E14" s="8"/>
      <c r="F14"/>
    </row>
    <row r="15" spans="1:13" x14ac:dyDescent="0.25">
      <c r="C15"/>
      <c r="D15"/>
      <c r="E15" s="8"/>
      <c r="F15"/>
    </row>
    <row r="16" spans="1:13" x14ac:dyDescent="0.25">
      <c r="C16"/>
      <c r="D16"/>
      <c r="E16" s="8"/>
      <c r="F16"/>
    </row>
    <row r="17" spans="3:6" x14ac:dyDescent="0.25">
      <c r="C17"/>
      <c r="D17"/>
      <c r="E17" s="8"/>
      <c r="F17"/>
    </row>
    <row r="18" spans="3:6" x14ac:dyDescent="0.25">
      <c r="C18"/>
      <c r="D18"/>
      <c r="E18" s="8"/>
      <c r="F18"/>
    </row>
    <row r="19" spans="3:6" x14ac:dyDescent="0.25">
      <c r="C19"/>
      <c r="D19"/>
      <c r="E19" s="8"/>
      <c r="F19"/>
    </row>
    <row r="20" spans="3:6" x14ac:dyDescent="0.25">
      <c r="C20"/>
      <c r="D20"/>
      <c r="E20" s="8"/>
      <c r="F20"/>
    </row>
    <row r="21" spans="3:6" x14ac:dyDescent="0.25">
      <c r="C21"/>
      <c r="D21"/>
      <c r="E21" s="8"/>
      <c r="F21"/>
    </row>
    <row r="22" spans="3:6" x14ac:dyDescent="0.25">
      <c r="C22"/>
      <c r="D22"/>
      <c r="E22" s="8"/>
      <c r="F22"/>
    </row>
    <row r="23" spans="3:6" x14ac:dyDescent="0.25">
      <c r="C23"/>
      <c r="D23"/>
      <c r="E23" s="8"/>
      <c r="F23"/>
    </row>
    <row r="24" spans="3:6" x14ac:dyDescent="0.25">
      <c r="C24"/>
      <c r="D24"/>
      <c r="E24" s="8"/>
      <c r="F24"/>
    </row>
    <row r="25" spans="3:6" x14ac:dyDescent="0.25">
      <c r="C25"/>
      <c r="D25"/>
      <c r="E25" s="8"/>
      <c r="F25"/>
    </row>
    <row r="26" spans="3:6" x14ac:dyDescent="0.25">
      <c r="C26"/>
      <c r="D26"/>
      <c r="E26" s="8"/>
      <c r="F26"/>
    </row>
    <row r="27" spans="3:6" x14ac:dyDescent="0.25">
      <c r="C27"/>
      <c r="D27"/>
      <c r="E27" s="8"/>
      <c r="F27"/>
    </row>
    <row r="28" spans="3:6" x14ac:dyDescent="0.25">
      <c r="C28"/>
      <c r="D28"/>
      <c r="E28" s="8"/>
      <c r="F28"/>
    </row>
    <row r="29" spans="3:6" x14ac:dyDescent="0.25">
      <c r="C29"/>
      <c r="D29"/>
      <c r="E29" s="8"/>
      <c r="F29"/>
    </row>
    <row r="30" spans="3:6" x14ac:dyDescent="0.25">
      <c r="C30"/>
      <c r="D30"/>
      <c r="E30" s="8"/>
      <c r="F30"/>
    </row>
    <row r="31" spans="3:6" x14ac:dyDescent="0.25">
      <c r="C31"/>
      <c r="D31"/>
      <c r="E31" s="8"/>
      <c r="F31"/>
    </row>
    <row r="32" spans="3:6" x14ac:dyDescent="0.25">
      <c r="C32"/>
      <c r="D32"/>
      <c r="E32" s="8"/>
      <c r="F32"/>
    </row>
    <row r="33" spans="3:6" x14ac:dyDescent="0.25">
      <c r="C33"/>
      <c r="D33"/>
      <c r="E33" s="8"/>
      <c r="F33"/>
    </row>
    <row r="34" spans="3:6" x14ac:dyDescent="0.25">
      <c r="C34"/>
      <c r="D34"/>
      <c r="E34" s="8"/>
      <c r="F34"/>
    </row>
    <row r="35" spans="3:6" x14ac:dyDescent="0.25">
      <c r="C35"/>
      <c r="D35"/>
      <c r="E35" s="8"/>
      <c r="F35"/>
    </row>
    <row r="36" spans="3:6" x14ac:dyDescent="0.25">
      <c r="C36"/>
      <c r="D36"/>
      <c r="E36" s="8"/>
      <c r="F36"/>
    </row>
    <row r="37" spans="3:6" x14ac:dyDescent="0.25">
      <c r="C37"/>
      <c r="D37"/>
      <c r="E37" s="8"/>
      <c r="F37"/>
    </row>
    <row r="38" spans="3:6" x14ac:dyDescent="0.25">
      <c r="C38"/>
      <c r="D38"/>
      <c r="E38" s="8"/>
      <c r="F38"/>
    </row>
    <row r="39" spans="3:6" x14ac:dyDescent="0.25">
      <c r="C39"/>
      <c r="D39"/>
      <c r="E39" s="8"/>
      <c r="F39"/>
    </row>
    <row r="40" spans="3:6" x14ac:dyDescent="0.25">
      <c r="C40"/>
      <c r="D40"/>
      <c r="E40" s="8"/>
      <c r="F40"/>
    </row>
    <row r="41" spans="3:6" x14ac:dyDescent="0.25">
      <c r="C41"/>
      <c r="D41"/>
      <c r="E41" s="8"/>
      <c r="F41"/>
    </row>
    <row r="42" spans="3:6" x14ac:dyDescent="0.25">
      <c r="C42"/>
      <c r="D42"/>
      <c r="E42" s="8"/>
      <c r="F42"/>
    </row>
  </sheetData>
  <sheetProtection sheet="1" objects="1" scenarios="1" selectLockedCells="1" selectUnlockedCells="1"/>
  <conditionalFormatting sqref="J1:J2 J7:J1048576 L1">
    <cfRule type="cellIs" dxfId="7" priority="4" operator="lessThan">
      <formula>0</formula>
    </cfRule>
  </conditionalFormatting>
  <conditionalFormatting sqref="J1:J1048576 L1">
    <cfRule type="cellIs" dxfId="6" priority="1" operator="lessThan">
      <formula>0</formula>
    </cfRule>
    <cfRule type="cellIs" dxfId="5" priority="2" operator="lessThan">
      <formula>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2049" r:id="rId4" name="CBFORMULARIO2">
          <controlPr defaultSize="0" autoLine="0" r:id="rId5">
            <anchor moveWithCells="1">
              <from>
                <xdr:col>11</xdr:col>
                <xdr:colOff>0</xdr:colOff>
                <xdr:row>1</xdr:row>
                <xdr:rowOff>47625</xdr:rowOff>
              </from>
              <to>
                <xdr:col>13</xdr:col>
                <xdr:colOff>76200</xdr:colOff>
                <xdr:row>8</xdr:row>
                <xdr:rowOff>180975</xdr:rowOff>
              </to>
            </anchor>
          </controlPr>
        </control>
      </mc:Choice>
      <mc:Fallback>
        <control shapeId="2049" r:id="rId4" name="CBFORMULARIO2"/>
      </mc:Fallback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HISTORIALREGISTRO">
            <anchor moveWithCells="1" sizeWithCells="1">
              <from>
                <xdr:col>16</xdr:col>
                <xdr:colOff>19050</xdr:colOff>
                <xdr:row>4</xdr:row>
                <xdr:rowOff>9525</xdr:rowOff>
              </from>
              <to>
                <xdr:col>16</xdr:col>
                <xdr:colOff>762000</xdr:colOff>
                <xdr:row>6</xdr:row>
                <xdr:rowOff>104775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3" tint="-0.249977111117893"/>
  </sheetPr>
  <dimension ref="A1:I1"/>
  <sheetViews>
    <sheetView workbookViewId="0">
      <pane ySplit="1" topLeftCell="A2" activePane="bottomLeft" state="frozen"/>
      <selection pane="bottomLeft" activeCell="E5" sqref="E5"/>
    </sheetView>
  </sheetViews>
  <sheetFormatPr baseColWidth="10" defaultRowHeight="15" x14ac:dyDescent="0.25"/>
  <cols>
    <col min="1" max="1" width="22.42578125" customWidth="1"/>
    <col min="2" max="2" width="13.140625" style="10" customWidth="1"/>
    <col min="3" max="3" width="14.42578125" customWidth="1"/>
    <col min="4" max="4" width="13.28515625" style="3" customWidth="1"/>
    <col min="5" max="5" width="15.5703125" style="8" customWidth="1"/>
    <col min="6" max="6" width="14.85546875" customWidth="1"/>
    <col min="7" max="7" width="4.7109375" customWidth="1"/>
  </cols>
  <sheetData>
    <row r="1" spans="1:9" x14ac:dyDescent="0.25">
      <c r="A1" s="4" t="s">
        <v>4</v>
      </c>
      <c r="B1" s="11" t="s">
        <v>5</v>
      </c>
      <c r="C1" s="4" t="s">
        <v>6</v>
      </c>
      <c r="D1" s="9" t="s">
        <v>7</v>
      </c>
      <c r="E1" s="7" t="s">
        <v>8</v>
      </c>
      <c r="F1" s="4" t="s">
        <v>9</v>
      </c>
      <c r="H1" s="74" t="s">
        <v>52</v>
      </c>
      <c r="I1" s="10">
        <f>SUBTOTAL(9,B:B)</f>
        <v>0</v>
      </c>
    </row>
  </sheetData>
  <sheetProtection sheet="1" objects="1" scenarios="1" selectLockedCells="1" autoFilter="0" selectUnlockedCells="1"/>
  <autoFilter ref="A1:F1"/>
  <pageMargins left="0.7" right="0.7" top="0.75" bottom="0.75" header="0.3" footer="0.3"/>
  <pageSetup paperSize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3073" r:id="rId4" name="CBFORMULARIO3">
          <controlPr defaultSize="0" autoLine="0" r:id="rId5">
            <anchor moveWithCells="1">
              <from>
                <xdr:col>7</xdr:col>
                <xdr:colOff>19050</xdr:colOff>
                <xdr:row>2</xdr:row>
                <xdr:rowOff>9525</xdr:rowOff>
              </from>
              <to>
                <xdr:col>9</xdr:col>
                <xdr:colOff>276225</xdr:colOff>
                <xdr:row>9</xdr:row>
                <xdr:rowOff>142875</xdr:rowOff>
              </to>
            </anchor>
          </controlPr>
        </control>
      </mc:Choice>
      <mc:Fallback>
        <control shapeId="3073" r:id="rId4" name="CBFORMULARIO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:O79"/>
  <sheetViews>
    <sheetView topLeftCell="G1" workbookViewId="0">
      <selection activeCell="F28" sqref="F28"/>
    </sheetView>
  </sheetViews>
  <sheetFormatPr baseColWidth="10" defaultRowHeight="15" x14ac:dyDescent="0.25"/>
  <sheetData>
    <row r="1" spans="1:15" ht="15.75" thickBot="1" x14ac:dyDescent="0.3">
      <c r="A1" s="15" t="s">
        <v>21</v>
      </c>
      <c r="B1" s="56" t="s">
        <v>51</v>
      </c>
      <c r="C1" s="64"/>
      <c r="D1" s="15" t="s">
        <v>21</v>
      </c>
      <c r="E1" s="56" t="s">
        <v>51</v>
      </c>
      <c r="F1" s="64"/>
      <c r="G1" s="15" t="s">
        <v>21</v>
      </c>
      <c r="H1" s="56" t="s">
        <v>51</v>
      </c>
      <c r="I1" s="64"/>
      <c r="J1" s="15" t="s">
        <v>21</v>
      </c>
      <c r="K1" s="56" t="s">
        <v>51</v>
      </c>
      <c r="L1" s="64"/>
      <c r="M1" s="15" t="s">
        <v>21</v>
      </c>
      <c r="N1" s="56" t="s">
        <v>51</v>
      </c>
      <c r="O1" s="64"/>
    </row>
    <row r="2" spans="1:15" ht="15.75" thickBot="1" x14ac:dyDescent="0.3">
      <c r="A2" s="16"/>
      <c r="B2" s="58" t="s">
        <v>22</v>
      </c>
      <c r="C2" s="59" t="s">
        <v>1</v>
      </c>
      <c r="D2" s="16"/>
      <c r="E2" s="58" t="s">
        <v>22</v>
      </c>
      <c r="F2" s="59" t="s">
        <v>1</v>
      </c>
      <c r="G2" s="16"/>
      <c r="H2" s="58" t="s">
        <v>22</v>
      </c>
      <c r="I2" s="59" t="s">
        <v>1</v>
      </c>
      <c r="J2" s="16"/>
      <c r="K2" s="58" t="s">
        <v>22</v>
      </c>
      <c r="L2" s="59" t="s">
        <v>1</v>
      </c>
      <c r="M2" s="16"/>
      <c r="N2" s="58" t="s">
        <v>22</v>
      </c>
      <c r="O2" s="59" t="s">
        <v>1</v>
      </c>
    </row>
    <row r="3" spans="1:15" ht="15.75" thickBot="1" x14ac:dyDescent="0.3">
      <c r="A3" s="57"/>
      <c r="B3" s="63"/>
      <c r="C3" s="62"/>
      <c r="D3" s="65"/>
      <c r="E3" s="66"/>
      <c r="F3" s="67"/>
      <c r="G3" s="65"/>
      <c r="H3" s="69"/>
      <c r="I3" s="68"/>
      <c r="J3" s="65"/>
      <c r="K3" s="63"/>
      <c r="L3" s="62"/>
      <c r="M3" s="65"/>
      <c r="N3" s="66"/>
      <c r="O3" s="67"/>
    </row>
    <row r="4" spans="1:15" x14ac:dyDescent="0.25">
      <c r="A4" s="17"/>
      <c r="B4" s="60"/>
      <c r="C4" s="61"/>
      <c r="D4" s="17"/>
      <c r="E4" s="60"/>
      <c r="F4" s="61"/>
      <c r="G4" s="17"/>
      <c r="H4" s="60"/>
      <c r="I4" s="61"/>
      <c r="J4" s="17"/>
      <c r="K4" s="60"/>
      <c r="L4" s="61"/>
      <c r="M4" s="17"/>
      <c r="N4" s="60"/>
      <c r="O4" s="61"/>
    </row>
    <row r="5" spans="1:15" x14ac:dyDescent="0.25">
      <c r="A5" s="17"/>
      <c r="B5" s="18"/>
      <c r="C5" s="19"/>
      <c r="D5" s="17"/>
      <c r="E5" s="18"/>
      <c r="F5" s="19"/>
      <c r="G5" s="17"/>
      <c r="H5" s="18"/>
      <c r="I5" s="19"/>
      <c r="J5" s="17"/>
      <c r="K5" s="18"/>
      <c r="L5" s="19"/>
      <c r="M5" s="17"/>
      <c r="N5" s="18"/>
      <c r="O5" s="19"/>
    </row>
    <row r="6" spans="1:15" x14ac:dyDescent="0.25">
      <c r="A6" s="17"/>
      <c r="B6" s="18"/>
      <c r="C6" s="19"/>
      <c r="D6" s="17"/>
      <c r="E6" s="18"/>
      <c r="F6" s="19"/>
      <c r="G6" s="17"/>
      <c r="H6" s="18"/>
      <c r="I6" s="19"/>
      <c r="J6" s="17"/>
      <c r="K6" s="18"/>
      <c r="L6" s="19"/>
      <c r="M6" s="17"/>
      <c r="N6" s="18"/>
      <c r="O6" s="19"/>
    </row>
    <row r="7" spans="1:15" x14ac:dyDescent="0.25">
      <c r="A7" s="17"/>
      <c r="B7" s="18"/>
      <c r="C7" s="19"/>
      <c r="D7" s="17"/>
      <c r="E7" s="18"/>
      <c r="F7" s="19"/>
      <c r="G7" s="17"/>
      <c r="H7" s="18"/>
      <c r="I7" s="19"/>
      <c r="J7" s="17"/>
      <c r="K7" s="18"/>
      <c r="L7" s="19"/>
      <c r="M7" s="17"/>
      <c r="N7" s="18"/>
      <c r="O7" s="19"/>
    </row>
    <row r="8" spans="1:15" x14ac:dyDescent="0.25">
      <c r="A8" s="17"/>
      <c r="B8" s="18"/>
      <c r="C8" s="19"/>
      <c r="D8" s="17"/>
      <c r="E8" s="18"/>
      <c r="F8" s="19"/>
      <c r="G8" s="17"/>
      <c r="H8" s="18"/>
      <c r="I8" s="19"/>
      <c r="J8" s="17"/>
      <c r="K8" s="18"/>
      <c r="L8" s="19"/>
      <c r="M8" s="17"/>
      <c r="N8" s="18"/>
      <c r="O8" s="19"/>
    </row>
    <row r="9" spans="1:15" x14ac:dyDescent="0.25">
      <c r="A9" s="17"/>
      <c r="B9" s="18"/>
      <c r="C9" s="19"/>
      <c r="D9" s="17"/>
      <c r="E9" s="18"/>
      <c r="F9" s="19"/>
      <c r="G9" s="17"/>
      <c r="H9" s="18"/>
      <c r="I9" s="19"/>
      <c r="J9" s="17"/>
      <c r="K9" s="18"/>
      <c r="L9" s="19"/>
      <c r="M9" s="17"/>
      <c r="N9" s="18"/>
      <c r="O9" s="19"/>
    </row>
    <row r="10" spans="1:15" x14ac:dyDescent="0.25">
      <c r="A10" s="17"/>
      <c r="B10" s="18"/>
      <c r="C10" s="19"/>
      <c r="D10" s="17"/>
      <c r="E10" s="18"/>
      <c r="F10" s="19"/>
      <c r="G10" s="17"/>
      <c r="H10" s="18"/>
      <c r="I10" s="19"/>
      <c r="J10" s="17"/>
      <c r="K10" s="18"/>
      <c r="L10" s="19"/>
      <c r="M10" s="17"/>
      <c r="N10" s="18"/>
      <c r="O10" s="19"/>
    </row>
    <row r="11" spans="1:15" x14ac:dyDescent="0.25">
      <c r="A11" s="17"/>
      <c r="B11" s="18"/>
      <c r="C11" s="19"/>
      <c r="D11" s="17"/>
      <c r="E11" s="18"/>
      <c r="F11" s="19"/>
      <c r="G11" s="17"/>
      <c r="H11" s="18"/>
      <c r="I11" s="19"/>
      <c r="J11" s="17"/>
      <c r="K11" s="18"/>
      <c r="L11" s="19"/>
      <c r="M11" s="17"/>
      <c r="N11" s="18"/>
      <c r="O11" s="19"/>
    </row>
    <row r="12" spans="1:15" x14ac:dyDescent="0.25">
      <c r="A12" s="17"/>
      <c r="B12" s="18"/>
      <c r="C12" s="19"/>
      <c r="D12" s="17"/>
      <c r="E12" s="18"/>
      <c r="F12" s="19"/>
      <c r="G12" s="17"/>
      <c r="H12" s="18"/>
      <c r="I12" s="19"/>
      <c r="J12" s="17"/>
      <c r="K12" s="18"/>
      <c r="L12" s="19"/>
      <c r="M12" s="17"/>
      <c r="N12" s="18"/>
      <c r="O12" s="19"/>
    </row>
    <row r="13" spans="1:15" x14ac:dyDescent="0.25">
      <c r="A13" s="17"/>
      <c r="B13" s="18"/>
      <c r="C13" s="19"/>
      <c r="D13" s="17"/>
      <c r="E13" s="18"/>
      <c r="F13" s="19"/>
      <c r="G13" s="17"/>
      <c r="H13" s="18"/>
      <c r="I13" s="19"/>
      <c r="J13" s="17"/>
      <c r="K13" s="18"/>
      <c r="L13" s="19"/>
      <c r="M13" s="17"/>
      <c r="N13" s="18"/>
      <c r="O13" s="19"/>
    </row>
    <row r="14" spans="1:15" x14ac:dyDescent="0.25">
      <c r="A14" s="17"/>
      <c r="B14" s="18"/>
      <c r="C14" s="19"/>
      <c r="D14" s="17"/>
      <c r="E14" s="18"/>
      <c r="F14" s="19"/>
      <c r="G14" s="17"/>
      <c r="H14" s="18"/>
      <c r="I14" s="19"/>
      <c r="J14" s="17"/>
      <c r="K14" s="18"/>
      <c r="L14" s="19"/>
      <c r="M14" s="17"/>
      <c r="N14" s="18"/>
      <c r="O14" s="19"/>
    </row>
    <row r="15" spans="1:15" x14ac:dyDescent="0.25">
      <c r="A15" s="17"/>
      <c r="B15" s="18"/>
      <c r="C15" s="19"/>
      <c r="D15" s="17"/>
      <c r="E15" s="18"/>
      <c r="F15" s="19"/>
      <c r="G15" s="17"/>
      <c r="H15" s="18"/>
      <c r="I15" s="19"/>
      <c r="J15" s="17"/>
      <c r="K15" s="18"/>
      <c r="L15" s="19"/>
      <c r="M15" s="17"/>
      <c r="N15" s="18"/>
      <c r="O15" s="19"/>
    </row>
    <row r="16" spans="1:15" x14ac:dyDescent="0.25">
      <c r="A16" s="17"/>
      <c r="B16" s="18"/>
      <c r="C16" s="19"/>
      <c r="D16" s="17"/>
      <c r="E16" s="18"/>
      <c r="F16" s="19"/>
      <c r="G16" s="17"/>
      <c r="H16" s="18"/>
      <c r="I16" s="19"/>
      <c r="J16" s="17"/>
      <c r="K16" s="18"/>
      <c r="L16" s="19"/>
      <c r="M16" s="17"/>
      <c r="N16" s="18"/>
      <c r="O16" s="19"/>
    </row>
    <row r="17" spans="1:15" ht="15.75" thickBot="1" x14ac:dyDescent="0.3">
      <c r="A17" s="20"/>
      <c r="B17" s="18"/>
      <c r="C17" s="19"/>
      <c r="D17" s="20"/>
      <c r="E17" s="18"/>
      <c r="F17" s="19"/>
      <c r="G17" s="20"/>
      <c r="H17" s="18"/>
      <c r="I17" s="19"/>
      <c r="J17" s="20"/>
      <c r="K17" s="18"/>
      <c r="L17" s="19"/>
      <c r="M17" s="20"/>
      <c r="N17" s="18"/>
      <c r="O17" s="19"/>
    </row>
    <row r="18" spans="1:15" ht="15.75" thickBot="1" x14ac:dyDescent="0.3">
      <c r="A18" s="70" t="s">
        <v>41</v>
      </c>
      <c r="B18" s="21">
        <f>B4+B5+B6+B7+B8+B9+B10+B11+B12+B13+B14+B15+B16+B17</f>
        <v>0</v>
      </c>
      <c r="C18" s="21">
        <f t="shared" ref="C18:O18" si="0">C4+C5+C6+C7+C8+C9+C10+C11+C12+C13+C14+C15+C16+C17</f>
        <v>0</v>
      </c>
      <c r="D18" s="70" t="s">
        <v>41</v>
      </c>
      <c r="E18" s="21">
        <f t="shared" si="0"/>
        <v>0</v>
      </c>
      <c r="F18" s="21">
        <f t="shared" si="0"/>
        <v>0</v>
      </c>
      <c r="G18" s="70" t="s">
        <v>41</v>
      </c>
      <c r="H18" s="21">
        <f t="shared" si="0"/>
        <v>0</v>
      </c>
      <c r="I18" s="21">
        <f t="shared" si="0"/>
        <v>0</v>
      </c>
      <c r="J18" s="70" t="s">
        <v>41</v>
      </c>
      <c r="K18" s="21">
        <f t="shared" si="0"/>
        <v>0</v>
      </c>
      <c r="L18" s="21">
        <f t="shared" si="0"/>
        <v>0</v>
      </c>
      <c r="M18" s="70" t="s">
        <v>41</v>
      </c>
      <c r="N18" s="21">
        <f t="shared" si="0"/>
        <v>0</v>
      </c>
      <c r="O18" s="21">
        <f t="shared" si="0"/>
        <v>0</v>
      </c>
    </row>
    <row r="19" spans="1:15" ht="20.25" x14ac:dyDescent="0.25">
      <c r="A19" s="22"/>
      <c r="B19" s="77">
        <f>C18-B18</f>
        <v>0</v>
      </c>
      <c r="C19" s="78"/>
      <c r="D19" s="22"/>
      <c r="E19" s="77">
        <f>F18-E18</f>
        <v>0</v>
      </c>
      <c r="F19" s="78"/>
      <c r="G19" s="22"/>
      <c r="H19" s="77">
        <f>I18-H18</f>
        <v>0</v>
      </c>
      <c r="I19" s="78"/>
      <c r="J19" s="22"/>
      <c r="K19" s="77">
        <f>L18-K18</f>
        <v>0</v>
      </c>
      <c r="L19" s="78"/>
      <c r="M19" s="22"/>
      <c r="N19" s="77">
        <f>O18-N18</f>
        <v>0</v>
      </c>
      <c r="O19" s="78"/>
    </row>
    <row r="20" spans="1:15" ht="69.75" customHeight="1" thickBot="1" x14ac:dyDescent="0.3"/>
    <row r="21" spans="1:15" ht="15.75" thickBot="1" x14ac:dyDescent="0.3">
      <c r="A21" s="15" t="s">
        <v>21</v>
      </c>
      <c r="B21" s="56" t="s">
        <v>51</v>
      </c>
      <c r="C21" s="64"/>
      <c r="D21" s="15" t="s">
        <v>21</v>
      </c>
      <c r="E21" s="56" t="s">
        <v>51</v>
      </c>
      <c r="F21" s="64"/>
      <c r="G21" s="15" t="s">
        <v>21</v>
      </c>
      <c r="H21" s="56" t="s">
        <v>51</v>
      </c>
      <c r="I21" s="64"/>
      <c r="J21" s="15" t="s">
        <v>21</v>
      </c>
      <c r="K21" s="56" t="s">
        <v>51</v>
      </c>
      <c r="L21" s="64"/>
      <c r="M21" s="15" t="s">
        <v>21</v>
      </c>
      <c r="N21" s="56" t="s">
        <v>51</v>
      </c>
      <c r="O21" s="64"/>
    </row>
    <row r="22" spans="1:15" ht="15.75" thickBot="1" x14ac:dyDescent="0.3">
      <c r="A22" s="16"/>
      <c r="B22" s="58" t="s">
        <v>22</v>
      </c>
      <c r="C22" s="59" t="s">
        <v>1</v>
      </c>
      <c r="D22" s="16"/>
      <c r="E22" s="58" t="s">
        <v>22</v>
      </c>
      <c r="F22" s="59" t="s">
        <v>1</v>
      </c>
      <c r="G22" s="16"/>
      <c r="H22" s="58" t="s">
        <v>22</v>
      </c>
      <c r="I22" s="59" t="s">
        <v>1</v>
      </c>
      <c r="J22" s="16"/>
      <c r="K22" s="58" t="s">
        <v>22</v>
      </c>
      <c r="L22" s="59" t="s">
        <v>1</v>
      </c>
      <c r="M22" s="16"/>
      <c r="N22" s="58" t="s">
        <v>22</v>
      </c>
      <c r="O22" s="59" t="s">
        <v>1</v>
      </c>
    </row>
    <row r="23" spans="1:15" ht="15.75" thickBot="1" x14ac:dyDescent="0.3">
      <c r="A23" s="57"/>
      <c r="B23" s="63"/>
      <c r="C23" s="62"/>
      <c r="D23" s="65"/>
      <c r="E23" s="66"/>
      <c r="F23" s="67"/>
      <c r="G23" s="65"/>
      <c r="H23" s="69"/>
      <c r="I23" s="68"/>
      <c r="J23" s="65"/>
      <c r="K23" s="63"/>
      <c r="L23" s="62"/>
      <c r="M23" s="65"/>
      <c r="N23" s="66"/>
      <c r="O23" s="67"/>
    </row>
    <row r="24" spans="1:15" x14ac:dyDescent="0.25">
      <c r="A24" s="17"/>
      <c r="B24" s="60"/>
      <c r="C24" s="61"/>
      <c r="D24" s="17"/>
      <c r="E24" s="60"/>
      <c r="F24" s="61"/>
      <c r="G24" s="17"/>
      <c r="H24" s="60"/>
      <c r="I24" s="61"/>
      <c r="J24" s="17"/>
      <c r="K24" s="60"/>
      <c r="L24" s="61"/>
      <c r="M24" s="17"/>
      <c r="N24" s="60"/>
      <c r="O24" s="61"/>
    </row>
    <row r="25" spans="1:15" x14ac:dyDescent="0.25">
      <c r="A25" s="17"/>
      <c r="B25" s="18"/>
      <c r="C25" s="19"/>
      <c r="D25" s="17"/>
      <c r="E25" s="18"/>
      <c r="F25" s="19"/>
      <c r="G25" s="17"/>
      <c r="H25" s="18"/>
      <c r="I25" s="19"/>
      <c r="J25" s="17"/>
      <c r="K25" s="18"/>
      <c r="L25" s="19"/>
      <c r="M25" s="17"/>
      <c r="N25" s="18"/>
      <c r="O25" s="19"/>
    </row>
    <row r="26" spans="1:15" x14ac:dyDescent="0.25">
      <c r="A26" s="17"/>
      <c r="B26" s="18"/>
      <c r="C26" s="19"/>
      <c r="D26" s="17"/>
      <c r="E26" s="18"/>
      <c r="F26" s="19"/>
      <c r="G26" s="17"/>
      <c r="H26" s="18"/>
      <c r="I26" s="19"/>
      <c r="J26" s="17"/>
      <c r="K26" s="18"/>
      <c r="L26" s="19"/>
      <c r="M26" s="17"/>
      <c r="N26" s="18"/>
      <c r="O26" s="19"/>
    </row>
    <row r="27" spans="1:15" x14ac:dyDescent="0.25">
      <c r="A27" s="17"/>
      <c r="B27" s="18"/>
      <c r="C27" s="19"/>
      <c r="D27" s="17"/>
      <c r="E27" s="18"/>
      <c r="F27" s="19"/>
      <c r="G27" s="17"/>
      <c r="H27" s="18"/>
      <c r="I27" s="19"/>
      <c r="J27" s="17"/>
      <c r="K27" s="18"/>
      <c r="L27" s="19"/>
      <c r="M27" s="17"/>
      <c r="N27" s="18"/>
      <c r="O27" s="19"/>
    </row>
    <row r="28" spans="1:15" x14ac:dyDescent="0.25">
      <c r="A28" s="17"/>
      <c r="B28" s="18"/>
      <c r="C28" s="19"/>
      <c r="D28" s="17"/>
      <c r="E28" s="18"/>
      <c r="F28" s="19"/>
      <c r="G28" s="17"/>
      <c r="H28" s="18"/>
      <c r="I28" s="19"/>
      <c r="J28" s="17"/>
      <c r="K28" s="18"/>
      <c r="L28" s="19"/>
      <c r="M28" s="17"/>
      <c r="N28" s="18"/>
      <c r="O28" s="19"/>
    </row>
    <row r="29" spans="1:15" x14ac:dyDescent="0.25">
      <c r="A29" s="17"/>
      <c r="B29" s="18"/>
      <c r="C29" s="19"/>
      <c r="D29" s="17"/>
      <c r="E29" s="18"/>
      <c r="F29" s="19"/>
      <c r="G29" s="17"/>
      <c r="H29" s="18"/>
      <c r="I29" s="19"/>
      <c r="J29" s="17"/>
      <c r="K29" s="18"/>
      <c r="L29" s="19"/>
      <c r="M29" s="17"/>
      <c r="N29" s="18"/>
      <c r="O29" s="19"/>
    </row>
    <row r="30" spans="1:15" x14ac:dyDescent="0.25">
      <c r="A30" s="17"/>
      <c r="B30" s="18"/>
      <c r="C30" s="19"/>
      <c r="D30" s="17"/>
      <c r="E30" s="18"/>
      <c r="F30" s="19"/>
      <c r="G30" s="17"/>
      <c r="H30" s="18"/>
      <c r="I30" s="19"/>
      <c r="J30" s="17"/>
      <c r="K30" s="18"/>
      <c r="L30" s="19"/>
      <c r="M30" s="17"/>
      <c r="N30" s="18"/>
      <c r="O30" s="19"/>
    </row>
    <row r="31" spans="1:15" x14ac:dyDescent="0.25">
      <c r="A31" s="17"/>
      <c r="B31" s="18"/>
      <c r="C31" s="19"/>
      <c r="D31" s="17"/>
      <c r="E31" s="18"/>
      <c r="F31" s="19"/>
      <c r="G31" s="17"/>
      <c r="H31" s="18"/>
      <c r="I31" s="19"/>
      <c r="J31" s="17"/>
      <c r="K31" s="18"/>
      <c r="L31" s="19"/>
      <c r="M31" s="17"/>
      <c r="N31" s="18"/>
      <c r="O31" s="19"/>
    </row>
    <row r="32" spans="1:15" x14ac:dyDescent="0.25">
      <c r="A32" s="17"/>
      <c r="B32" s="18"/>
      <c r="C32" s="19"/>
      <c r="D32" s="17"/>
      <c r="E32" s="18"/>
      <c r="F32" s="19"/>
      <c r="G32" s="17"/>
      <c r="H32" s="18"/>
      <c r="I32" s="19"/>
      <c r="J32" s="17"/>
      <c r="K32" s="18"/>
      <c r="L32" s="19"/>
      <c r="M32" s="17"/>
      <c r="N32" s="18"/>
      <c r="O32" s="19"/>
    </row>
    <row r="33" spans="1:15" x14ac:dyDescent="0.25">
      <c r="A33" s="17"/>
      <c r="B33" s="18"/>
      <c r="C33" s="19"/>
      <c r="D33" s="17"/>
      <c r="E33" s="18"/>
      <c r="F33" s="19"/>
      <c r="G33" s="17"/>
      <c r="H33" s="18"/>
      <c r="I33" s="19"/>
      <c r="J33" s="17"/>
      <c r="K33" s="18"/>
      <c r="L33" s="19"/>
      <c r="M33" s="17"/>
      <c r="N33" s="18"/>
      <c r="O33" s="19"/>
    </row>
    <row r="34" spans="1:15" x14ac:dyDescent="0.25">
      <c r="A34" s="17"/>
      <c r="B34" s="18"/>
      <c r="C34" s="19"/>
      <c r="D34" s="17"/>
      <c r="E34" s="18"/>
      <c r="F34" s="19"/>
      <c r="G34" s="17"/>
      <c r="H34" s="18"/>
      <c r="I34" s="19"/>
      <c r="J34" s="17"/>
      <c r="K34" s="18"/>
      <c r="L34" s="19"/>
      <c r="M34" s="17"/>
      <c r="N34" s="18"/>
      <c r="O34" s="19"/>
    </row>
    <row r="35" spans="1:15" x14ac:dyDescent="0.25">
      <c r="A35" s="17"/>
      <c r="B35" s="18"/>
      <c r="C35" s="19"/>
      <c r="D35" s="17"/>
      <c r="E35" s="18"/>
      <c r="F35" s="19"/>
      <c r="G35" s="17"/>
      <c r="H35" s="18"/>
      <c r="I35" s="19"/>
      <c r="J35" s="17"/>
      <c r="K35" s="18"/>
      <c r="L35" s="19"/>
      <c r="M35" s="17"/>
      <c r="N35" s="18"/>
      <c r="O35" s="19"/>
    </row>
    <row r="36" spans="1:15" x14ac:dyDescent="0.25">
      <c r="A36" s="17"/>
      <c r="B36" s="18"/>
      <c r="C36" s="19"/>
      <c r="D36" s="17"/>
      <c r="E36" s="18"/>
      <c r="F36" s="19"/>
      <c r="G36" s="17"/>
      <c r="H36" s="18"/>
      <c r="I36" s="19"/>
      <c r="J36" s="17"/>
      <c r="K36" s="18"/>
      <c r="L36" s="19"/>
      <c r="M36" s="17"/>
      <c r="N36" s="18"/>
      <c r="O36" s="19"/>
    </row>
    <row r="37" spans="1:15" ht="15.75" thickBot="1" x14ac:dyDescent="0.3">
      <c r="A37" s="20"/>
      <c r="B37" s="18"/>
      <c r="C37" s="19"/>
      <c r="D37" s="20"/>
      <c r="E37" s="18"/>
      <c r="F37" s="19"/>
      <c r="G37" s="20"/>
      <c r="H37" s="18"/>
      <c r="I37" s="19"/>
      <c r="J37" s="20"/>
      <c r="K37" s="18"/>
      <c r="L37" s="19"/>
      <c r="M37" s="20"/>
      <c r="N37" s="18"/>
      <c r="O37" s="19"/>
    </row>
    <row r="38" spans="1:15" ht="15.75" thickBot="1" x14ac:dyDescent="0.3">
      <c r="A38" s="70" t="s">
        <v>41</v>
      </c>
      <c r="B38" s="21">
        <f>B24+B25+B26+B27+B28+B29+B30+B31+B32+B33+B34+B35+B36+B37</f>
        <v>0</v>
      </c>
      <c r="C38" s="21">
        <f t="shared" ref="C38" si="1">C24+C25+C26+C27+C28+C29+C30+C31+C32+C33+C34+C35+C36+C37</f>
        <v>0</v>
      </c>
      <c r="D38" s="70" t="s">
        <v>41</v>
      </c>
      <c r="E38" s="21">
        <f t="shared" ref="E38:F38" si="2">E24+E25+E26+E27+E28+E29+E30+E31+E32+E33+E34+E35+E36+E37</f>
        <v>0</v>
      </c>
      <c r="F38" s="21">
        <f t="shared" si="2"/>
        <v>0</v>
      </c>
      <c r="G38" s="70" t="s">
        <v>41</v>
      </c>
      <c r="H38" s="21">
        <f t="shared" ref="H38:I38" si="3">H24+H25+H26+H27+H28+H29+H30+H31+H32+H33+H34+H35+H36+H37</f>
        <v>0</v>
      </c>
      <c r="I38" s="21">
        <f t="shared" si="3"/>
        <v>0</v>
      </c>
      <c r="J38" s="70" t="s">
        <v>41</v>
      </c>
      <c r="K38" s="21">
        <f t="shared" ref="K38:L38" si="4">K24+K25+K26+K27+K28+K29+K30+K31+K32+K33+K34+K35+K36+K37</f>
        <v>0</v>
      </c>
      <c r="L38" s="21">
        <f t="shared" si="4"/>
        <v>0</v>
      </c>
      <c r="M38" s="70" t="s">
        <v>41</v>
      </c>
      <c r="N38" s="21">
        <f t="shared" ref="N38:O38" si="5">N24+N25+N26+N27+N28+N29+N30+N31+N32+N33+N34+N35+N36+N37</f>
        <v>0</v>
      </c>
      <c r="O38" s="21">
        <f t="shared" si="5"/>
        <v>0</v>
      </c>
    </row>
    <row r="39" spans="1:15" ht="20.25" x14ac:dyDescent="0.25">
      <c r="A39" s="22"/>
      <c r="B39" s="77">
        <f>C38-B38</f>
        <v>0</v>
      </c>
      <c r="C39" s="78"/>
      <c r="D39" s="22"/>
      <c r="E39" s="77">
        <f>F38-E38</f>
        <v>0</v>
      </c>
      <c r="F39" s="78"/>
      <c r="G39" s="22"/>
      <c r="H39" s="77">
        <f>I38-H38</f>
        <v>0</v>
      </c>
      <c r="I39" s="78"/>
      <c r="J39" s="22"/>
      <c r="K39" s="77">
        <f>L38-K38</f>
        <v>0</v>
      </c>
      <c r="L39" s="78"/>
      <c r="M39" s="22"/>
      <c r="N39" s="77">
        <f>O38-N38</f>
        <v>0</v>
      </c>
      <c r="O39" s="78"/>
    </row>
    <row r="40" spans="1:15" ht="15.75" thickBot="1" x14ac:dyDescent="0.3"/>
    <row r="41" spans="1:15" ht="15.75" thickBot="1" x14ac:dyDescent="0.3">
      <c r="A41" s="15" t="s">
        <v>21</v>
      </c>
      <c r="B41" s="56" t="s">
        <v>51</v>
      </c>
      <c r="C41" s="64"/>
      <c r="D41" s="15" t="s">
        <v>21</v>
      </c>
      <c r="E41" s="56" t="s">
        <v>51</v>
      </c>
      <c r="F41" s="64"/>
      <c r="G41" s="15" t="s">
        <v>21</v>
      </c>
      <c r="H41" s="56" t="s">
        <v>51</v>
      </c>
      <c r="I41" s="64"/>
      <c r="J41" s="15" t="s">
        <v>21</v>
      </c>
      <c r="K41" s="56" t="s">
        <v>51</v>
      </c>
      <c r="L41" s="64"/>
      <c r="M41" s="15" t="s">
        <v>21</v>
      </c>
      <c r="N41" s="56" t="s">
        <v>51</v>
      </c>
      <c r="O41" s="64"/>
    </row>
    <row r="42" spans="1:15" ht="15.75" thickBot="1" x14ac:dyDescent="0.3">
      <c r="A42" s="16"/>
      <c r="B42" s="58" t="s">
        <v>22</v>
      </c>
      <c r="C42" s="59" t="s">
        <v>1</v>
      </c>
      <c r="D42" s="16"/>
      <c r="E42" s="58" t="s">
        <v>22</v>
      </c>
      <c r="F42" s="59" t="s">
        <v>1</v>
      </c>
      <c r="G42" s="16"/>
      <c r="H42" s="58" t="s">
        <v>22</v>
      </c>
      <c r="I42" s="59" t="s">
        <v>1</v>
      </c>
      <c r="J42" s="16"/>
      <c r="K42" s="58" t="s">
        <v>22</v>
      </c>
      <c r="L42" s="59" t="s">
        <v>1</v>
      </c>
      <c r="M42" s="16"/>
      <c r="N42" s="58" t="s">
        <v>22</v>
      </c>
      <c r="O42" s="59" t="s">
        <v>1</v>
      </c>
    </row>
    <row r="43" spans="1:15" ht="15.75" thickBot="1" x14ac:dyDescent="0.3">
      <c r="A43" s="57"/>
      <c r="B43" s="63"/>
      <c r="C43" s="62"/>
      <c r="D43" s="65"/>
      <c r="E43" s="66"/>
      <c r="F43" s="67"/>
      <c r="G43" s="65"/>
      <c r="H43" s="69"/>
      <c r="I43" s="68"/>
      <c r="J43" s="65"/>
      <c r="K43" s="63"/>
      <c r="L43" s="62"/>
      <c r="M43" s="65"/>
      <c r="N43" s="66"/>
      <c r="O43" s="67"/>
    </row>
    <row r="44" spans="1:15" x14ac:dyDescent="0.25">
      <c r="A44" s="17"/>
      <c r="B44" s="60"/>
      <c r="C44" s="61"/>
      <c r="D44" s="17"/>
      <c r="E44" s="60"/>
      <c r="F44" s="61"/>
      <c r="G44" s="17"/>
      <c r="H44" s="60"/>
      <c r="I44" s="61"/>
      <c r="J44" s="17"/>
      <c r="K44" s="60"/>
      <c r="L44" s="61"/>
      <c r="M44" s="17"/>
      <c r="N44" s="60"/>
      <c r="O44" s="61"/>
    </row>
    <row r="45" spans="1:15" x14ac:dyDescent="0.25">
      <c r="A45" s="17"/>
      <c r="B45" s="18"/>
      <c r="C45" s="19"/>
      <c r="D45" s="17"/>
      <c r="E45" s="18"/>
      <c r="F45" s="19"/>
      <c r="G45" s="17"/>
      <c r="H45" s="18"/>
      <c r="I45" s="19"/>
      <c r="J45" s="17"/>
      <c r="K45" s="18"/>
      <c r="L45" s="19"/>
      <c r="M45" s="17"/>
      <c r="N45" s="18"/>
      <c r="O45" s="19"/>
    </row>
    <row r="46" spans="1:15" x14ac:dyDescent="0.25">
      <c r="A46" s="17"/>
      <c r="B46" s="18"/>
      <c r="C46" s="19"/>
      <c r="D46" s="17"/>
      <c r="E46" s="18"/>
      <c r="F46" s="19"/>
      <c r="G46" s="17"/>
      <c r="H46" s="18"/>
      <c r="I46" s="19"/>
      <c r="J46" s="17"/>
      <c r="K46" s="18"/>
      <c r="L46" s="19"/>
      <c r="M46" s="17"/>
      <c r="N46" s="18"/>
      <c r="O46" s="19"/>
    </row>
    <row r="47" spans="1:15" x14ac:dyDescent="0.25">
      <c r="A47" s="17"/>
      <c r="B47" s="18"/>
      <c r="C47" s="19"/>
      <c r="D47" s="17"/>
      <c r="E47" s="18"/>
      <c r="F47" s="19"/>
      <c r="G47" s="17"/>
      <c r="H47" s="18"/>
      <c r="I47" s="19"/>
      <c r="J47" s="17"/>
      <c r="K47" s="18"/>
      <c r="L47" s="19"/>
      <c r="M47" s="17"/>
      <c r="N47" s="18"/>
      <c r="O47" s="19"/>
    </row>
    <row r="48" spans="1:15" x14ac:dyDescent="0.25">
      <c r="A48" s="17"/>
      <c r="B48" s="18"/>
      <c r="C48" s="19"/>
      <c r="D48" s="17"/>
      <c r="E48" s="18"/>
      <c r="F48" s="19"/>
      <c r="G48" s="17"/>
      <c r="H48" s="18"/>
      <c r="I48" s="19"/>
      <c r="J48" s="17"/>
      <c r="K48" s="18"/>
      <c r="L48" s="19"/>
      <c r="M48" s="17"/>
      <c r="N48" s="18"/>
      <c r="O48" s="19"/>
    </row>
    <row r="49" spans="1:15" x14ac:dyDescent="0.25">
      <c r="A49" s="17"/>
      <c r="B49" s="18"/>
      <c r="C49" s="19"/>
      <c r="D49" s="17"/>
      <c r="E49" s="18"/>
      <c r="F49" s="19"/>
      <c r="G49" s="17"/>
      <c r="H49" s="18"/>
      <c r="I49" s="19"/>
      <c r="J49" s="17"/>
      <c r="K49" s="18"/>
      <c r="L49" s="19"/>
      <c r="M49" s="17"/>
      <c r="N49" s="18"/>
      <c r="O49" s="19"/>
    </row>
    <row r="50" spans="1:15" x14ac:dyDescent="0.25">
      <c r="A50" s="17"/>
      <c r="B50" s="18"/>
      <c r="C50" s="19"/>
      <c r="D50" s="17"/>
      <c r="E50" s="18"/>
      <c r="F50" s="19"/>
      <c r="G50" s="17"/>
      <c r="H50" s="18"/>
      <c r="I50" s="19"/>
      <c r="J50" s="17"/>
      <c r="K50" s="18"/>
      <c r="L50" s="19"/>
      <c r="M50" s="17"/>
      <c r="N50" s="18"/>
      <c r="O50" s="19"/>
    </row>
    <row r="51" spans="1:15" x14ac:dyDescent="0.25">
      <c r="A51" s="17"/>
      <c r="B51" s="18"/>
      <c r="C51" s="19"/>
      <c r="D51" s="17"/>
      <c r="E51" s="18"/>
      <c r="F51" s="19"/>
      <c r="G51" s="17"/>
      <c r="H51" s="18"/>
      <c r="I51" s="19"/>
      <c r="J51" s="17"/>
      <c r="K51" s="18"/>
      <c r="L51" s="19"/>
      <c r="M51" s="17"/>
      <c r="N51" s="18"/>
      <c r="O51" s="19"/>
    </row>
    <row r="52" spans="1:15" x14ac:dyDescent="0.25">
      <c r="A52" s="17"/>
      <c r="B52" s="18"/>
      <c r="C52" s="19"/>
      <c r="D52" s="17"/>
      <c r="E52" s="18"/>
      <c r="F52" s="19"/>
      <c r="G52" s="17"/>
      <c r="H52" s="18"/>
      <c r="I52" s="19"/>
      <c r="J52" s="17"/>
      <c r="K52" s="18"/>
      <c r="L52" s="19"/>
      <c r="M52" s="17"/>
      <c r="N52" s="18"/>
      <c r="O52" s="19"/>
    </row>
    <row r="53" spans="1:15" x14ac:dyDescent="0.25">
      <c r="A53" s="17"/>
      <c r="B53" s="18"/>
      <c r="C53" s="19"/>
      <c r="D53" s="17"/>
      <c r="E53" s="18"/>
      <c r="F53" s="19"/>
      <c r="G53" s="17"/>
      <c r="H53" s="18"/>
      <c r="I53" s="19"/>
      <c r="J53" s="17"/>
      <c r="K53" s="18"/>
      <c r="L53" s="19"/>
      <c r="M53" s="17"/>
      <c r="N53" s="18"/>
      <c r="O53" s="19"/>
    </row>
    <row r="54" spans="1:15" x14ac:dyDescent="0.25">
      <c r="A54" s="17"/>
      <c r="B54" s="18"/>
      <c r="C54" s="19"/>
      <c r="D54" s="17"/>
      <c r="E54" s="18"/>
      <c r="F54" s="19"/>
      <c r="G54" s="17"/>
      <c r="H54" s="18"/>
      <c r="I54" s="19"/>
      <c r="J54" s="17"/>
      <c r="K54" s="18"/>
      <c r="L54" s="19"/>
      <c r="M54" s="17"/>
      <c r="N54" s="18"/>
      <c r="O54" s="19"/>
    </row>
    <row r="55" spans="1:15" x14ac:dyDescent="0.25">
      <c r="A55" s="17"/>
      <c r="B55" s="18"/>
      <c r="C55" s="19"/>
      <c r="D55" s="17"/>
      <c r="E55" s="18"/>
      <c r="F55" s="19"/>
      <c r="G55" s="17"/>
      <c r="H55" s="18"/>
      <c r="I55" s="19"/>
      <c r="J55" s="17"/>
      <c r="K55" s="18"/>
      <c r="L55" s="19"/>
      <c r="M55" s="17"/>
      <c r="N55" s="18"/>
      <c r="O55" s="19"/>
    </row>
    <row r="56" spans="1:15" x14ac:dyDescent="0.25">
      <c r="A56" s="17"/>
      <c r="B56" s="18"/>
      <c r="C56" s="19"/>
      <c r="D56" s="17"/>
      <c r="E56" s="18"/>
      <c r="F56" s="19"/>
      <c r="G56" s="17"/>
      <c r="H56" s="18"/>
      <c r="I56" s="19"/>
      <c r="J56" s="17"/>
      <c r="K56" s="18"/>
      <c r="L56" s="19"/>
      <c r="M56" s="17"/>
      <c r="N56" s="18"/>
      <c r="O56" s="19"/>
    </row>
    <row r="57" spans="1:15" ht="15.75" thickBot="1" x14ac:dyDescent="0.3">
      <c r="A57" s="20"/>
      <c r="B57" s="18"/>
      <c r="C57" s="19"/>
      <c r="D57" s="20"/>
      <c r="E57" s="18"/>
      <c r="F57" s="19"/>
      <c r="G57" s="20"/>
      <c r="H57" s="18"/>
      <c r="I57" s="19"/>
      <c r="J57" s="20"/>
      <c r="K57" s="18"/>
      <c r="L57" s="19"/>
      <c r="M57" s="20"/>
      <c r="N57" s="18"/>
      <c r="O57" s="19"/>
    </row>
    <row r="58" spans="1:15" ht="15.75" thickBot="1" x14ac:dyDescent="0.3">
      <c r="A58" s="70" t="s">
        <v>41</v>
      </c>
      <c r="B58" s="21">
        <f>B44+B45+B46+B47+B48+B49+B50+B51+B52+B53+B54+B55+B56+B57</f>
        <v>0</v>
      </c>
      <c r="C58" s="21">
        <f t="shared" ref="C58" si="6">C44+C45+C46+C47+C48+C49+C50+C51+C52+C53+C54+C55+C56+C57</f>
        <v>0</v>
      </c>
      <c r="D58" s="70" t="s">
        <v>41</v>
      </c>
      <c r="E58" s="21">
        <f t="shared" ref="E58:F58" si="7">E44+E45+E46+E47+E48+E49+E50+E51+E52+E53+E54+E55+E56+E57</f>
        <v>0</v>
      </c>
      <c r="F58" s="21">
        <f t="shared" si="7"/>
        <v>0</v>
      </c>
      <c r="G58" s="70" t="s">
        <v>41</v>
      </c>
      <c r="H58" s="21">
        <f t="shared" ref="H58:I58" si="8">H44+H45+H46+H47+H48+H49+H50+H51+H52+H53+H54+H55+H56+H57</f>
        <v>0</v>
      </c>
      <c r="I58" s="21">
        <f t="shared" si="8"/>
        <v>0</v>
      </c>
      <c r="J58" s="70" t="s">
        <v>41</v>
      </c>
      <c r="K58" s="21">
        <f t="shared" ref="K58:L58" si="9">K44+K45+K46+K47+K48+K49+K50+K51+K52+K53+K54+K55+K56+K57</f>
        <v>0</v>
      </c>
      <c r="L58" s="21">
        <f t="shared" si="9"/>
        <v>0</v>
      </c>
      <c r="M58" s="70" t="s">
        <v>41</v>
      </c>
      <c r="N58" s="21">
        <f t="shared" ref="N58:O58" si="10">N44+N45+N46+N47+N48+N49+N50+N51+N52+N53+N54+N55+N56+N57</f>
        <v>0</v>
      </c>
      <c r="O58" s="21">
        <f t="shared" si="10"/>
        <v>0</v>
      </c>
    </row>
    <row r="59" spans="1:15" ht="20.25" x14ac:dyDescent="0.25">
      <c r="A59" s="22"/>
      <c r="B59" s="77">
        <f>C58-B58</f>
        <v>0</v>
      </c>
      <c r="C59" s="78"/>
      <c r="D59" s="22"/>
      <c r="E59" s="77">
        <f>F58-E58</f>
        <v>0</v>
      </c>
      <c r="F59" s="78"/>
      <c r="G59" s="22"/>
      <c r="H59" s="77">
        <f>I58-H58</f>
        <v>0</v>
      </c>
      <c r="I59" s="78"/>
      <c r="J59" s="22"/>
      <c r="K59" s="77">
        <f>L58-K58</f>
        <v>0</v>
      </c>
      <c r="L59" s="78"/>
      <c r="M59" s="22"/>
      <c r="N59" s="77">
        <f>O58-N58</f>
        <v>0</v>
      </c>
      <c r="O59" s="78"/>
    </row>
    <row r="60" spans="1:15" ht="15.75" thickBot="1" x14ac:dyDescent="0.3"/>
    <row r="61" spans="1:15" ht="15.75" thickBot="1" x14ac:dyDescent="0.3">
      <c r="A61" s="15" t="s">
        <v>21</v>
      </c>
      <c r="B61" s="56" t="s">
        <v>51</v>
      </c>
      <c r="C61" s="64"/>
      <c r="D61" s="15" t="s">
        <v>21</v>
      </c>
      <c r="E61" s="56" t="s">
        <v>51</v>
      </c>
      <c r="F61" s="64"/>
      <c r="G61" s="15" t="s">
        <v>21</v>
      </c>
      <c r="H61" s="56" t="s">
        <v>51</v>
      </c>
      <c r="I61" s="64"/>
      <c r="J61" s="15" t="s">
        <v>21</v>
      </c>
      <c r="K61" s="56" t="s">
        <v>51</v>
      </c>
      <c r="L61" s="64"/>
      <c r="M61" s="15" t="s">
        <v>21</v>
      </c>
      <c r="N61" s="56" t="s">
        <v>51</v>
      </c>
      <c r="O61" s="64"/>
    </row>
    <row r="62" spans="1:15" ht="15.75" thickBot="1" x14ac:dyDescent="0.3">
      <c r="A62" s="16"/>
      <c r="B62" s="58" t="s">
        <v>22</v>
      </c>
      <c r="C62" s="59" t="s">
        <v>1</v>
      </c>
      <c r="D62" s="16"/>
      <c r="E62" s="58" t="s">
        <v>22</v>
      </c>
      <c r="F62" s="59" t="s">
        <v>1</v>
      </c>
      <c r="G62" s="16"/>
      <c r="H62" s="58" t="s">
        <v>22</v>
      </c>
      <c r="I62" s="59" t="s">
        <v>1</v>
      </c>
      <c r="J62" s="16"/>
      <c r="K62" s="58" t="s">
        <v>22</v>
      </c>
      <c r="L62" s="59" t="s">
        <v>1</v>
      </c>
      <c r="M62" s="16"/>
      <c r="N62" s="58" t="s">
        <v>22</v>
      </c>
      <c r="O62" s="59" t="s">
        <v>1</v>
      </c>
    </row>
    <row r="63" spans="1:15" ht="15.75" thickBot="1" x14ac:dyDescent="0.3">
      <c r="A63" s="57"/>
      <c r="B63" s="63"/>
      <c r="C63" s="62"/>
      <c r="D63" s="65"/>
      <c r="E63" s="66"/>
      <c r="F63" s="67"/>
      <c r="G63" s="65"/>
      <c r="H63" s="69"/>
      <c r="I63" s="68"/>
      <c r="J63" s="65"/>
      <c r="K63" s="63"/>
      <c r="L63" s="62"/>
      <c r="M63" s="65"/>
      <c r="N63" s="66"/>
      <c r="O63" s="67"/>
    </row>
    <row r="64" spans="1:15" x14ac:dyDescent="0.25">
      <c r="A64" s="17"/>
      <c r="B64" s="60"/>
      <c r="C64" s="61"/>
      <c r="D64" s="17"/>
      <c r="E64" s="60"/>
      <c r="F64" s="61"/>
      <c r="G64" s="17"/>
      <c r="H64" s="60"/>
      <c r="I64" s="61"/>
      <c r="J64" s="17"/>
      <c r="K64" s="60"/>
      <c r="L64" s="61"/>
      <c r="M64" s="17"/>
      <c r="N64" s="60"/>
      <c r="O64" s="61"/>
    </row>
    <row r="65" spans="1:15" x14ac:dyDescent="0.25">
      <c r="A65" s="17"/>
      <c r="B65" s="18"/>
      <c r="C65" s="19"/>
      <c r="D65" s="17"/>
      <c r="E65" s="18"/>
      <c r="F65" s="19"/>
      <c r="G65" s="17"/>
      <c r="H65" s="18"/>
      <c r="I65" s="19"/>
      <c r="J65" s="17"/>
      <c r="K65" s="18"/>
      <c r="L65" s="19"/>
      <c r="M65" s="17"/>
      <c r="N65" s="18"/>
      <c r="O65" s="19"/>
    </row>
    <row r="66" spans="1:15" x14ac:dyDescent="0.25">
      <c r="A66" s="17"/>
      <c r="B66" s="18"/>
      <c r="C66" s="19"/>
      <c r="D66" s="17"/>
      <c r="E66" s="18"/>
      <c r="F66" s="19"/>
      <c r="G66" s="17"/>
      <c r="H66" s="18"/>
      <c r="I66" s="19"/>
      <c r="J66" s="17"/>
      <c r="K66" s="18"/>
      <c r="L66" s="19"/>
      <c r="M66" s="17"/>
      <c r="N66" s="18"/>
      <c r="O66" s="19"/>
    </row>
    <row r="67" spans="1:15" x14ac:dyDescent="0.25">
      <c r="A67" s="17"/>
      <c r="B67" s="18"/>
      <c r="C67" s="19"/>
      <c r="D67" s="17"/>
      <c r="E67" s="18"/>
      <c r="F67" s="19"/>
      <c r="G67" s="17"/>
      <c r="H67" s="18"/>
      <c r="I67" s="19"/>
      <c r="J67" s="17"/>
      <c r="K67" s="18"/>
      <c r="L67" s="19"/>
      <c r="M67" s="17"/>
      <c r="N67" s="18"/>
      <c r="O67" s="19"/>
    </row>
    <row r="68" spans="1:15" x14ac:dyDescent="0.25">
      <c r="A68" s="17"/>
      <c r="B68" s="18"/>
      <c r="C68" s="19"/>
      <c r="D68" s="17"/>
      <c r="E68" s="18"/>
      <c r="F68" s="19"/>
      <c r="G68" s="17"/>
      <c r="H68" s="18"/>
      <c r="I68" s="19"/>
      <c r="J68" s="17"/>
      <c r="K68" s="18"/>
      <c r="L68" s="19"/>
      <c r="M68" s="17"/>
      <c r="N68" s="18"/>
      <c r="O68" s="19"/>
    </row>
    <row r="69" spans="1:15" x14ac:dyDescent="0.25">
      <c r="A69" s="17"/>
      <c r="B69" s="18"/>
      <c r="C69" s="19"/>
      <c r="D69" s="17"/>
      <c r="E69" s="18"/>
      <c r="F69" s="19"/>
      <c r="G69" s="17"/>
      <c r="H69" s="18"/>
      <c r="I69" s="19"/>
      <c r="J69" s="17"/>
      <c r="K69" s="18"/>
      <c r="L69" s="19"/>
      <c r="M69" s="17"/>
      <c r="N69" s="18"/>
      <c r="O69" s="19"/>
    </row>
    <row r="70" spans="1:15" x14ac:dyDescent="0.25">
      <c r="A70" s="17"/>
      <c r="B70" s="18"/>
      <c r="C70" s="19"/>
      <c r="D70" s="17"/>
      <c r="E70" s="18"/>
      <c r="F70" s="19"/>
      <c r="G70" s="17"/>
      <c r="H70" s="18"/>
      <c r="I70" s="19"/>
      <c r="J70" s="17"/>
      <c r="K70" s="18"/>
      <c r="L70" s="19"/>
      <c r="M70" s="17"/>
      <c r="N70" s="18"/>
      <c r="O70" s="19"/>
    </row>
    <row r="71" spans="1:15" x14ac:dyDescent="0.25">
      <c r="A71" s="17"/>
      <c r="B71" s="18"/>
      <c r="C71" s="19"/>
      <c r="D71" s="17"/>
      <c r="E71" s="18"/>
      <c r="F71" s="19"/>
      <c r="G71" s="17"/>
      <c r="H71" s="18"/>
      <c r="I71" s="19"/>
      <c r="J71" s="17"/>
      <c r="K71" s="18"/>
      <c r="L71" s="19"/>
      <c r="M71" s="17"/>
      <c r="N71" s="18"/>
      <c r="O71" s="19"/>
    </row>
    <row r="72" spans="1:15" x14ac:dyDescent="0.25">
      <c r="A72" s="17"/>
      <c r="B72" s="18"/>
      <c r="C72" s="19"/>
      <c r="D72" s="17"/>
      <c r="E72" s="18"/>
      <c r="F72" s="19"/>
      <c r="G72" s="17"/>
      <c r="H72" s="18"/>
      <c r="I72" s="19"/>
      <c r="J72" s="17"/>
      <c r="K72" s="18"/>
      <c r="L72" s="19"/>
      <c r="M72" s="17"/>
      <c r="N72" s="18"/>
      <c r="O72" s="19"/>
    </row>
    <row r="73" spans="1:15" x14ac:dyDescent="0.25">
      <c r="A73" s="17"/>
      <c r="B73" s="18"/>
      <c r="C73" s="19"/>
      <c r="D73" s="17"/>
      <c r="E73" s="18"/>
      <c r="F73" s="19"/>
      <c r="G73" s="17"/>
      <c r="H73" s="18"/>
      <c r="I73" s="19"/>
      <c r="J73" s="17"/>
      <c r="K73" s="18"/>
      <c r="L73" s="19"/>
      <c r="M73" s="17"/>
      <c r="N73" s="18"/>
      <c r="O73" s="19"/>
    </row>
    <row r="74" spans="1:15" x14ac:dyDescent="0.25">
      <c r="A74" s="17"/>
      <c r="B74" s="18"/>
      <c r="C74" s="19"/>
      <c r="D74" s="17"/>
      <c r="E74" s="18"/>
      <c r="F74" s="19"/>
      <c r="G74" s="17"/>
      <c r="H74" s="18"/>
      <c r="I74" s="19"/>
      <c r="J74" s="17"/>
      <c r="K74" s="18"/>
      <c r="L74" s="19"/>
      <c r="M74" s="17"/>
      <c r="N74" s="18"/>
      <c r="O74" s="19"/>
    </row>
    <row r="75" spans="1:15" x14ac:dyDescent="0.25">
      <c r="A75" s="17"/>
      <c r="B75" s="18"/>
      <c r="C75" s="19"/>
      <c r="D75" s="17"/>
      <c r="E75" s="18"/>
      <c r="F75" s="19"/>
      <c r="G75" s="17"/>
      <c r="H75" s="18"/>
      <c r="I75" s="19"/>
      <c r="J75" s="17"/>
      <c r="K75" s="18"/>
      <c r="L75" s="19"/>
      <c r="M75" s="17"/>
      <c r="N75" s="18"/>
      <c r="O75" s="19"/>
    </row>
    <row r="76" spans="1:15" x14ac:dyDescent="0.25">
      <c r="A76" s="17"/>
      <c r="B76" s="18"/>
      <c r="C76" s="19"/>
      <c r="D76" s="17"/>
      <c r="E76" s="18"/>
      <c r="F76" s="19"/>
      <c r="G76" s="17"/>
      <c r="H76" s="18"/>
      <c r="I76" s="19"/>
      <c r="J76" s="17"/>
      <c r="K76" s="18"/>
      <c r="L76" s="19"/>
      <c r="M76" s="17"/>
      <c r="N76" s="18"/>
      <c r="O76" s="19"/>
    </row>
    <row r="77" spans="1:15" ht="15.75" thickBot="1" x14ac:dyDescent="0.3">
      <c r="A77" s="20"/>
      <c r="B77" s="18"/>
      <c r="C77" s="19"/>
      <c r="D77" s="20"/>
      <c r="E77" s="18"/>
      <c r="F77" s="19"/>
      <c r="G77" s="20"/>
      <c r="H77" s="18"/>
      <c r="I77" s="19"/>
      <c r="J77" s="20"/>
      <c r="K77" s="18"/>
      <c r="L77" s="19"/>
      <c r="M77" s="20"/>
      <c r="N77" s="18"/>
      <c r="O77" s="19"/>
    </row>
    <row r="78" spans="1:15" ht="15.75" thickBot="1" x14ac:dyDescent="0.3">
      <c r="A78" s="70" t="s">
        <v>41</v>
      </c>
      <c r="B78" s="21">
        <f>B64+B65+B66+B67+B68+B69+B70+B71+B72+B73+B74+B75+B76+B77</f>
        <v>0</v>
      </c>
      <c r="C78" s="21">
        <f t="shared" ref="C78" si="11">C64+C65+C66+C67+C68+C69+C70+C71+C72+C73+C74+C75+C76+C77</f>
        <v>0</v>
      </c>
      <c r="D78" s="70" t="s">
        <v>41</v>
      </c>
      <c r="E78" s="21">
        <f t="shared" ref="E78:F78" si="12">E64+E65+E66+E67+E68+E69+E70+E71+E72+E73+E74+E75+E76+E77</f>
        <v>0</v>
      </c>
      <c r="F78" s="21">
        <f t="shared" si="12"/>
        <v>0</v>
      </c>
      <c r="G78" s="70" t="s">
        <v>41</v>
      </c>
      <c r="H78" s="21">
        <f t="shared" ref="H78:I78" si="13">H64+H65+H66+H67+H68+H69+H70+H71+H72+H73+H74+H75+H76+H77</f>
        <v>0</v>
      </c>
      <c r="I78" s="21">
        <f t="shared" si="13"/>
        <v>0</v>
      </c>
      <c r="J78" s="70" t="s">
        <v>41</v>
      </c>
      <c r="K78" s="21">
        <f t="shared" ref="K78:L78" si="14">K64+K65+K66+K67+K68+K69+K70+K71+K72+K73+K74+K75+K76+K77</f>
        <v>0</v>
      </c>
      <c r="L78" s="21">
        <f t="shared" si="14"/>
        <v>0</v>
      </c>
      <c r="M78" s="70" t="s">
        <v>41</v>
      </c>
      <c r="N78" s="21">
        <f t="shared" ref="N78:O78" si="15">N64+N65+N66+N67+N68+N69+N70+N71+N72+N73+N74+N75+N76+N77</f>
        <v>0</v>
      </c>
      <c r="O78" s="21">
        <f t="shared" si="15"/>
        <v>0</v>
      </c>
    </row>
    <row r="79" spans="1:15" ht="20.25" x14ac:dyDescent="0.25">
      <c r="A79" s="22"/>
      <c r="B79" s="77">
        <f>C78-B78</f>
        <v>0</v>
      </c>
      <c r="C79" s="78"/>
      <c r="D79" s="22"/>
      <c r="E79" s="77">
        <f>F78-E78</f>
        <v>0</v>
      </c>
      <c r="F79" s="78"/>
      <c r="G79" s="22"/>
      <c r="H79" s="77">
        <f>I78-H78</f>
        <v>0</v>
      </c>
      <c r="I79" s="78"/>
      <c r="J79" s="22"/>
      <c r="K79" s="77">
        <f>L78-K78</f>
        <v>0</v>
      </c>
      <c r="L79" s="78"/>
      <c r="M79" s="22"/>
      <c r="N79" s="77">
        <f>O78-N78</f>
        <v>0</v>
      </c>
      <c r="O79" s="78"/>
    </row>
  </sheetData>
  <sheetProtection sheet="1" objects="1" scenarios="1" selectLockedCells="1"/>
  <mergeCells count="20">
    <mergeCell ref="B39:C39"/>
    <mergeCell ref="E39:F39"/>
    <mergeCell ref="H39:I39"/>
    <mergeCell ref="K39:L39"/>
    <mergeCell ref="N39:O39"/>
    <mergeCell ref="B19:C19"/>
    <mergeCell ref="E19:F19"/>
    <mergeCell ref="H19:I19"/>
    <mergeCell ref="K19:L19"/>
    <mergeCell ref="N19:O19"/>
    <mergeCell ref="B79:C79"/>
    <mergeCell ref="E79:F79"/>
    <mergeCell ref="H79:I79"/>
    <mergeCell ref="K79:L79"/>
    <mergeCell ref="N79:O79"/>
    <mergeCell ref="B59:C59"/>
    <mergeCell ref="E59:F59"/>
    <mergeCell ref="H59:I59"/>
    <mergeCell ref="K59:L59"/>
    <mergeCell ref="N59:O59"/>
  </mergeCells>
  <conditionalFormatting sqref="B19:C19 E19:F19 H19:I19 K19:L19 N19:O19">
    <cfRule type="cellIs" dxfId="4" priority="5" stopIfTrue="1" operator="lessThan">
      <formula>0</formula>
    </cfRule>
  </conditionalFormatting>
  <conditionalFormatting sqref="B39:C39 E39:F39 H39:I39 K39:L39 N39:O39">
    <cfRule type="cellIs" dxfId="3" priority="3" stopIfTrue="1" operator="lessThan">
      <formula>0</formula>
    </cfRule>
  </conditionalFormatting>
  <conditionalFormatting sqref="B59:C59 E59:F59 H59:I59 K59:L59 N59:O59">
    <cfRule type="cellIs" dxfId="2" priority="2" stopIfTrue="1" operator="lessThan">
      <formula>0</formula>
    </cfRule>
  </conditionalFormatting>
  <conditionalFormatting sqref="B79:C79 E79:F79 H79:I79 K79:L79 N79:O79">
    <cfRule type="cellIs" dxfId="1" priority="1" stopIfTrue="1" operator="lessThan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BFORMULARIO4">
          <controlPr defaultSize="0" autoLine="0" r:id="rId4">
            <anchor moveWithCells="1">
              <from>
                <xdr:col>5</xdr:col>
                <xdr:colOff>295275</xdr:colOff>
                <xdr:row>19</xdr:row>
                <xdr:rowOff>95250</xdr:rowOff>
              </from>
              <to>
                <xdr:col>9</xdr:col>
                <xdr:colOff>104775</xdr:colOff>
                <xdr:row>19</xdr:row>
                <xdr:rowOff>742950</xdr:rowOff>
              </to>
            </anchor>
          </controlPr>
        </control>
      </mc:Choice>
      <mc:Fallback>
        <control shapeId="4097" r:id="rId3" name="CBFORMULARIO4"/>
      </mc:Fallback>
    </mc:AlternateContent>
    <mc:AlternateContent xmlns:mc="http://schemas.openxmlformats.org/markup-compatibility/2006">
      <mc:Choice Requires="x14">
        <control shapeId="4099" r:id="rId5" name="Button 3">
          <controlPr defaultSize="0" print="0" autoFill="0" autoPict="0" macro="[0]!BORRAREFECTIVO">
            <anchor>
              <from>
                <xdr:col>16</xdr:col>
                <xdr:colOff>285750</xdr:colOff>
                <xdr:row>8</xdr:row>
                <xdr:rowOff>19050</xdr:rowOff>
              </from>
              <to>
                <xdr:col>18</xdr:col>
                <xdr:colOff>695325</xdr:colOff>
                <xdr:row>11</xdr:row>
                <xdr:rowOff>57150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3" tint="-0.249977111117893"/>
  </sheetPr>
  <dimension ref="B2:I28"/>
  <sheetViews>
    <sheetView topLeftCell="A4" workbookViewId="0">
      <selection activeCell="C28" sqref="C28"/>
    </sheetView>
  </sheetViews>
  <sheetFormatPr baseColWidth="10" defaultRowHeight="15" x14ac:dyDescent="0.25"/>
  <cols>
    <col min="2" max="2" width="27.85546875" customWidth="1"/>
    <col min="3" max="3" width="19.5703125" customWidth="1"/>
    <col min="4" max="4" width="15.140625" customWidth="1"/>
    <col min="5" max="5" width="14.42578125" customWidth="1"/>
    <col min="6" max="6" width="12.85546875" customWidth="1"/>
    <col min="7" max="7" width="5.85546875" customWidth="1"/>
    <col min="8" max="8" width="18.28515625" customWidth="1"/>
    <col min="9" max="9" width="10" customWidth="1"/>
  </cols>
  <sheetData>
    <row r="2" spans="2:9" ht="29.25" thickBot="1" x14ac:dyDescent="0.5">
      <c r="B2" s="29"/>
      <c r="C2" s="31" t="s">
        <v>24</v>
      </c>
      <c r="D2" s="29"/>
      <c r="E2" s="29"/>
    </row>
    <row r="3" spans="2:9" ht="15.75" thickBot="1" x14ac:dyDescent="0.3">
      <c r="B3" s="28" t="s">
        <v>25</v>
      </c>
      <c r="C3" s="28" t="s">
        <v>26</v>
      </c>
      <c r="D3" s="28" t="s">
        <v>27</v>
      </c>
      <c r="E3" s="28" t="s">
        <v>28</v>
      </c>
      <c r="F3" s="13" t="s">
        <v>29</v>
      </c>
      <c r="H3" s="55" t="s">
        <v>50</v>
      </c>
      <c r="I3" s="54"/>
    </row>
    <row r="4" spans="2:9" x14ac:dyDescent="0.25">
      <c r="B4" s="13" t="s">
        <v>44</v>
      </c>
      <c r="C4" s="37">
        <f>SUMIF(REGISTRO!$C:$C,CUADRE!$B$4,REGISTRO!$B:$B)</f>
        <v>0</v>
      </c>
      <c r="D4" s="37">
        <f ca="1">SUMIFS(RECARGA!$B:$B,RECARGA!$C:$C,CUADRE!$B$4,RECARGA!$D:$D,TODAY())</f>
        <v>0</v>
      </c>
      <c r="E4" s="37">
        <f ca="1">SUMIFS(TAQUILLA!$C:$C,TAQUILLA!$D:$D,CUADRE!$F$4,TAQUILLA!$F:$F,TODAY())</f>
        <v>0</v>
      </c>
      <c r="F4" s="13" t="s">
        <v>10</v>
      </c>
      <c r="H4" s="13" t="s">
        <v>44</v>
      </c>
      <c r="I4" s="53">
        <f ca="1">C4+D4</f>
        <v>0</v>
      </c>
    </row>
    <row r="5" spans="2:9" x14ac:dyDescent="0.25">
      <c r="B5" s="13" t="s">
        <v>42</v>
      </c>
      <c r="C5" s="37">
        <f>SUMIF(REGISTRO!$C:$C,CUADRE!$B$5,REGISTRO!$B:$B)</f>
        <v>0</v>
      </c>
      <c r="D5" s="37">
        <f ca="1">SUMIFS(RECARGA!$B:$B,RECARGA!$C:$C,CUADRE!$B$5,RECARGA!$D:$D,TODAY())</f>
        <v>0</v>
      </c>
      <c r="E5" s="37">
        <f ca="1">SUMIFS(TAQUILLA!$C:$C,TAQUILLA!$D:$D,CUADRE!$F$5,TAQUILLA!$F:$F,TODAY())</f>
        <v>0</v>
      </c>
      <c r="F5" s="13" t="s">
        <v>60</v>
      </c>
      <c r="H5" s="13" t="s">
        <v>42</v>
      </c>
      <c r="I5" s="37">
        <f t="shared" ref="I5:I9" ca="1" si="0">C5+D5</f>
        <v>0</v>
      </c>
    </row>
    <row r="6" spans="2:9" x14ac:dyDescent="0.25">
      <c r="B6" s="13" t="s">
        <v>54</v>
      </c>
      <c r="C6" s="37">
        <f>SUMIF(REGISTRO!$C:$C,CUADRE!$B$6,REGISTRO!$B:$B)</f>
        <v>0</v>
      </c>
      <c r="D6" s="37">
        <f ca="1">SUMIFS(RECARGA!$B:$B,RECARGA!$C:$C,CUADRE!$B$6,RECARGA!$D:$D,TODAY())</f>
        <v>0</v>
      </c>
      <c r="E6" s="37">
        <f ca="1">SUMIFS(TAQUILLA!$C:$C,TAQUILLA!$D:$D,CUADRE!$F$6,TAQUILLA!$F:$F,TODAY())</f>
        <v>0</v>
      </c>
      <c r="F6" s="13" t="s">
        <v>56</v>
      </c>
      <c r="H6" s="13" t="s">
        <v>54</v>
      </c>
      <c r="I6" s="37">
        <f t="shared" ca="1" si="0"/>
        <v>0</v>
      </c>
    </row>
    <row r="7" spans="2:9" x14ac:dyDescent="0.25">
      <c r="B7" s="13" t="s">
        <v>43</v>
      </c>
      <c r="C7" s="37">
        <f>SUMIF(REGISTRO!$C:$C,CUADRE!$B$7,REGISTRO!$B:$B)</f>
        <v>0</v>
      </c>
      <c r="D7" s="37">
        <f ca="1">SUMIFS(RECARGA!$B:$B,RECARGA!$C:$C,CUADRE!$B$7,RECARGA!$D:$D,TODAY())</f>
        <v>0</v>
      </c>
      <c r="E7" s="37">
        <f ca="1">SUMIFS(TAQUILLA!$C:$C,TAQUILLA!$D:$D,CUADRE!$F$7,TAQUILLA!$F:$F,TODAY())</f>
        <v>0</v>
      </c>
      <c r="F7" s="13" t="s">
        <v>57</v>
      </c>
      <c r="H7" s="13" t="s">
        <v>43</v>
      </c>
      <c r="I7" s="37">
        <f t="shared" ca="1" si="0"/>
        <v>0</v>
      </c>
    </row>
    <row r="8" spans="2:9" x14ac:dyDescent="0.25">
      <c r="B8" s="13" t="s">
        <v>55</v>
      </c>
      <c r="C8" s="37">
        <f>SUMIF(REGISTRO!$C:$C,CUADRE!$B$8,REGISTRO!$B:$B)</f>
        <v>0</v>
      </c>
      <c r="D8" s="37">
        <f ca="1">SUMIFS(RECARGA!$B:$B,RECARGA!$C:$C,CUADRE!$B$8,RECARGA!$D:$D,TODAY())</f>
        <v>0</v>
      </c>
      <c r="E8" s="37">
        <f ca="1">SUMIFS(TAQUILLA!$C:$C,TAQUILLA!$D:$D,CUADRE!$F$8,TAQUILLA!$F:$F,TODAY())</f>
        <v>0</v>
      </c>
      <c r="F8" s="13" t="s">
        <v>59</v>
      </c>
      <c r="H8" s="13" t="s">
        <v>55</v>
      </c>
      <c r="I8" s="37">
        <f t="shared" ca="1" si="0"/>
        <v>0</v>
      </c>
    </row>
    <row r="9" spans="2:9" x14ac:dyDescent="0.25">
      <c r="B9" s="13" t="s">
        <v>13</v>
      </c>
      <c r="C9" s="37">
        <f>SUMIF(REGISTRO!$C:$C,CUADRE!$B$9,REGISTRO!$B:$B)</f>
        <v>0</v>
      </c>
      <c r="D9" s="37">
        <f ca="1">SUMIFS(RECARGA!$B:$B,RECARGA!$C:$C,CUADRE!$B$9,RECARGA!$D:$D,TODAY())</f>
        <v>0</v>
      </c>
      <c r="E9" s="37">
        <f ca="1">SUMIFS(TAQUILLA!$C:$C,TAQUILLA!$D:$D,CUADRE!$F$9,TAQUILLA!$F:$F,TODAY())</f>
        <v>0</v>
      </c>
      <c r="F9" s="13" t="s">
        <v>58</v>
      </c>
      <c r="H9" s="13" t="s">
        <v>13</v>
      </c>
      <c r="I9" s="37">
        <f t="shared" ca="1" si="0"/>
        <v>0</v>
      </c>
    </row>
    <row r="10" spans="2:9" ht="15.75" thickBot="1" x14ac:dyDescent="0.3">
      <c r="C10" s="29"/>
      <c r="D10" s="29"/>
      <c r="E10" s="29"/>
    </row>
    <row r="11" spans="2:9" ht="15.75" thickBot="1" x14ac:dyDescent="0.3">
      <c r="B11" s="28" t="s">
        <v>37</v>
      </c>
      <c r="C11" s="38">
        <f>C4+C5+C6+C7+C8+C9</f>
        <v>0</v>
      </c>
      <c r="D11" s="38">
        <f ca="1">D4+D5+D6+D7+D8+D9</f>
        <v>0</v>
      </c>
      <c r="E11" s="40">
        <f ca="1">E4+E5+E6+E7+E8+E9</f>
        <v>0</v>
      </c>
      <c r="F11" s="44">
        <f ca="1">C11+D11+E11</f>
        <v>0</v>
      </c>
      <c r="G11" s="45" t="s">
        <v>45</v>
      </c>
      <c r="H11" s="46"/>
    </row>
    <row r="12" spans="2:9" ht="31.5" customHeight="1" x14ac:dyDescent="0.25"/>
    <row r="13" spans="2:9" ht="26.25" x14ac:dyDescent="0.4">
      <c r="C13" s="32" t="s">
        <v>30</v>
      </c>
    </row>
    <row r="14" spans="2:9" x14ac:dyDescent="0.25">
      <c r="C14" s="13" t="s">
        <v>32</v>
      </c>
      <c r="D14" s="13" t="s">
        <v>29</v>
      </c>
    </row>
    <row r="15" spans="2:9" x14ac:dyDescent="0.25">
      <c r="C15" s="37">
        <f ca="1">SUMIFS(TAQUILLA!$B:$B,TAQUILLA!$D:$D,CUADRE!$D$15,TAQUILLA!$F:$F,TODAY())</f>
        <v>0</v>
      </c>
      <c r="D15" s="13" t="s">
        <v>14</v>
      </c>
    </row>
    <row r="16" spans="2:9" x14ac:dyDescent="0.25">
      <c r="C16" s="37">
        <f ca="1">SUMIFS(TAQUILLA!$B:$B,TAQUILLA!$D:$D,CUADRE!$D$16,TAQUILLA!$F:$F,TODAY())</f>
        <v>0</v>
      </c>
      <c r="D16" s="13" t="s">
        <v>61</v>
      </c>
    </row>
    <row r="17" spans="2:6" x14ac:dyDescent="0.25">
      <c r="C17" s="37">
        <f ca="1">SUMIFS(TAQUILLA!$B:$B,TAQUILLA!$D:$D,CUADRE!$D$17,TAQUILLA!$F:$F,TODAY())</f>
        <v>0</v>
      </c>
      <c r="D17" s="13" t="s">
        <v>39</v>
      </c>
    </row>
    <row r="18" spans="2:6" x14ac:dyDescent="0.25">
      <c r="C18" s="37">
        <f ca="1">SUMIFS(TAQUILLA!$B:$B,TAQUILLA!$D:$D,CUADRE!$D$18,TAQUILLA!$F:$F,TODAY())</f>
        <v>0</v>
      </c>
      <c r="D18" s="13" t="s">
        <v>60</v>
      </c>
    </row>
    <row r="19" spans="2:6" x14ac:dyDescent="0.25">
      <c r="C19" s="37">
        <f ca="1">SUMIFS(TAQUILLA!$B:$B,TAQUILLA!$D:$D,CUADRE!$D$19,TAQUILLA!$F:$F,TODAY())</f>
        <v>0</v>
      </c>
      <c r="D19" s="13" t="s">
        <v>56</v>
      </c>
    </row>
    <row r="20" spans="2:6" x14ac:dyDescent="0.25">
      <c r="C20" s="37">
        <f ca="1">SUMIFS(TAQUILLA!$B:$B,TAQUILLA!$D:$D,CUADRE!$D$20,TAQUILLA!$F:$F,TODAY())</f>
        <v>0</v>
      </c>
      <c r="D20" s="13" t="s">
        <v>57</v>
      </c>
    </row>
    <row r="21" spans="2:6" x14ac:dyDescent="0.25">
      <c r="C21" s="37">
        <f ca="1">SUMIFS(TAQUILLA!$B:$B,TAQUILLA!$D:$D,CUADRE!$D$21,TAQUILLA!$F:$F,TODAY())</f>
        <v>0</v>
      </c>
      <c r="D21" s="13" t="s">
        <v>15</v>
      </c>
    </row>
    <row r="22" spans="2:6" x14ac:dyDescent="0.25">
      <c r="B22" s="30" t="s">
        <v>31</v>
      </c>
      <c r="C22" s="43">
        <f ca="1">SUMIFS(TAQUILLA!$B:$B,TAQUILLA!$D:$D,CUADRE!$D$22,TAQUILLA!$F:$F,TODAY())</f>
        <v>0</v>
      </c>
      <c r="D22" s="35" t="s">
        <v>48</v>
      </c>
    </row>
    <row r="23" spans="2:6" ht="15.75" thickBot="1" x14ac:dyDescent="0.3">
      <c r="B23" s="40">
        <f>REGISTRO!$M$1</f>
        <v>0</v>
      </c>
      <c r="C23" s="37">
        <f ca="1">C15+C16+C17+C18+C19+C20+C21+C22</f>
        <v>0</v>
      </c>
      <c r="D23" s="42" t="s">
        <v>40</v>
      </c>
    </row>
    <row r="24" spans="2:6" ht="15.75" thickBot="1" x14ac:dyDescent="0.3">
      <c r="C24" s="50"/>
      <c r="D24" s="51">
        <f ca="1">B23+C23</f>
        <v>0</v>
      </c>
      <c r="E24" s="52" t="s">
        <v>46</v>
      </c>
      <c r="F24" s="47"/>
    </row>
    <row r="25" spans="2:6" x14ac:dyDescent="0.25">
      <c r="B25" s="41"/>
    </row>
    <row r="26" spans="2:6" x14ac:dyDescent="0.25">
      <c r="C26" t="s">
        <v>33</v>
      </c>
    </row>
    <row r="27" spans="2:6" x14ac:dyDescent="0.25">
      <c r="B27" s="49" t="s">
        <v>34</v>
      </c>
      <c r="C27" s="49" t="s">
        <v>35</v>
      </c>
      <c r="D27" s="49" t="s">
        <v>36</v>
      </c>
      <c r="E27" s="49" t="s">
        <v>47</v>
      </c>
      <c r="F27" s="49" t="s">
        <v>38</v>
      </c>
    </row>
    <row r="28" spans="2:6" x14ac:dyDescent="0.25">
      <c r="B28" s="37">
        <f ca="1">F11-D24</f>
        <v>0</v>
      </c>
      <c r="C28" s="48"/>
      <c r="D28" s="48"/>
      <c r="E28" s="37">
        <f ca="1">B28+C28</f>
        <v>0</v>
      </c>
      <c r="F28" s="37">
        <f ca="1">D28-E28</f>
        <v>0</v>
      </c>
    </row>
  </sheetData>
  <sheetProtection sheet="1" objects="1" scenarios="1" selectLockedCells="1"/>
  <dataValidations count="2">
    <dataValidation type="custom" allowBlank="1" showInputMessage="1" showErrorMessage="1" errorTitle="¡SOLO NUMEROS!" error="INGRESA EL SALDO EN EFECTIVO QUE DISPONES" sqref="C28">
      <formula1>ISNUMBER(C28)</formula1>
    </dataValidation>
    <dataValidation type="custom" allowBlank="1" showInputMessage="1" showErrorMessage="1" errorTitle="¡SOLO NUMEROS!" error="INGRESA EL MONTO QUE INDICA SUPRA HIPISMO O HIPICO OFFICE" sqref="D28">
      <formula1>ISNUMBER(D28)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5121" r:id="rId4" name="CBFORMULARIO5">
          <controlPr defaultSize="0" autoLine="0" r:id="rId5">
            <anchor>
              <from>
                <xdr:col>6</xdr:col>
                <xdr:colOff>342900</xdr:colOff>
                <xdr:row>12</xdr:row>
                <xdr:rowOff>85725</xdr:rowOff>
              </from>
              <to>
                <xdr:col>8</xdr:col>
                <xdr:colOff>514350</xdr:colOff>
                <xdr:row>19</xdr:row>
                <xdr:rowOff>76200</xdr:rowOff>
              </to>
            </anchor>
          </controlPr>
        </control>
      </mc:Choice>
      <mc:Fallback>
        <control shapeId="5121" r:id="rId4" name="CBFORMULARIO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3" tint="0.39997558519241921"/>
  </sheetPr>
  <dimension ref="A1:O4"/>
  <sheetViews>
    <sheetView topLeftCell="G1" workbookViewId="0">
      <pane ySplit="1" topLeftCell="A2" activePane="bottomLeft" state="frozen"/>
      <selection pane="bottomLeft" activeCell="L19" sqref="L19"/>
    </sheetView>
  </sheetViews>
  <sheetFormatPr baseColWidth="10" defaultRowHeight="15" x14ac:dyDescent="0.25"/>
  <cols>
    <col min="1" max="1" width="24" customWidth="1"/>
    <col min="2" max="2" width="11.42578125" style="10"/>
    <col min="4" max="4" width="11.42578125" style="3"/>
    <col min="5" max="5" width="11.42578125" style="8"/>
    <col min="7" max="10" width="11.42578125" style="10"/>
    <col min="11" max="11" width="19.42578125" style="34" customWidth="1"/>
    <col min="12" max="12" width="23.85546875" style="34" customWidth="1"/>
    <col min="13" max="13" width="19.42578125" style="34" customWidth="1"/>
  </cols>
  <sheetData>
    <row r="1" spans="1:15" x14ac:dyDescent="0.25">
      <c r="A1" s="4" t="s">
        <v>4</v>
      </c>
      <c r="B1" s="11" t="s">
        <v>5</v>
      </c>
      <c r="C1" s="6" t="s">
        <v>6</v>
      </c>
      <c r="D1" s="5" t="s">
        <v>7</v>
      </c>
      <c r="E1" s="14" t="s">
        <v>8</v>
      </c>
      <c r="F1" s="6" t="s">
        <v>9</v>
      </c>
      <c r="G1" s="11" t="s">
        <v>0</v>
      </c>
      <c r="H1" s="11" t="s">
        <v>1</v>
      </c>
      <c r="I1" s="11" t="s">
        <v>2</v>
      </c>
      <c r="J1" s="12" t="s">
        <v>3</v>
      </c>
      <c r="K1" s="33" t="s">
        <v>17</v>
      </c>
      <c r="L1" s="33" t="s">
        <v>19</v>
      </c>
      <c r="M1" s="33" t="s">
        <v>20</v>
      </c>
    </row>
    <row r="2" spans="1:15" x14ac:dyDescent="0.25">
      <c r="O2" t="s">
        <v>17</v>
      </c>
    </row>
    <row r="3" spans="1:15" x14ac:dyDescent="0.25">
      <c r="O3" t="s">
        <v>18</v>
      </c>
    </row>
    <row r="4" spans="1:15" x14ac:dyDescent="0.25">
      <c r="O4" t="s">
        <v>49</v>
      </c>
    </row>
  </sheetData>
  <sheetProtection sheet="1" objects="1" scenarios="1" selectLockedCells="1" autoFilter="0"/>
  <autoFilter ref="A1:M5"/>
  <conditionalFormatting sqref="J1:M1 J1:J1048576">
    <cfRule type="cellIs" dxfId="0" priority="9" operator="lessThan">
      <formula>0</formula>
    </cfRule>
  </conditionalFormatting>
  <dataValidations count="1">
    <dataValidation type="list" allowBlank="1" showInputMessage="1" showErrorMessage="1" errorTitle="INDICAR EL DESTINO DEL SALDO" error="DEBES INIDICAR SI EL CLIENTE VA A TRANSFERIR TODO, O UNA PARTE Y EL RESTO VA A FONDOS" sqref="K1:K1048576">
      <formula1>$O$2:$O$4</formula1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6147" r:id="rId4" name="CBFORMULARIO6">
          <controlPr defaultSize="0" autoLine="0" r:id="rId5">
            <anchor>
              <from>
                <xdr:col>13</xdr:col>
                <xdr:colOff>495300</xdr:colOff>
                <xdr:row>4</xdr:row>
                <xdr:rowOff>133350</xdr:rowOff>
              </from>
              <to>
                <xdr:col>15</xdr:col>
                <xdr:colOff>752475</xdr:colOff>
                <xdr:row>12</xdr:row>
                <xdr:rowOff>76200</xdr:rowOff>
              </to>
            </anchor>
          </controlPr>
        </control>
      </mc:Choice>
      <mc:Fallback>
        <control shapeId="6147" r:id="rId4" name="CBFORMULARIO6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3" tint="-0.249977111117893"/>
  </sheetPr>
  <dimension ref="A1:I9"/>
  <sheetViews>
    <sheetView workbookViewId="0">
      <selection activeCell="I2" sqref="I2"/>
    </sheetView>
  </sheetViews>
  <sheetFormatPr baseColWidth="10" defaultRowHeight="15" x14ac:dyDescent="0.25"/>
  <cols>
    <col min="1" max="1" width="18.5703125" customWidth="1"/>
    <col min="2" max="2" width="13.42578125" customWidth="1"/>
    <col min="4" max="4" width="18.7109375" customWidth="1"/>
    <col min="5" max="5" width="11.42578125" style="8"/>
    <col min="9" max="9" width="14.5703125" customWidth="1"/>
  </cols>
  <sheetData>
    <row r="1" spans="1:9" ht="15.75" x14ac:dyDescent="0.25">
      <c r="A1" s="36" t="s">
        <v>4</v>
      </c>
      <c r="B1" s="11" t="s">
        <v>0</v>
      </c>
      <c r="C1" s="11" t="s">
        <v>1</v>
      </c>
      <c r="D1" s="11" t="s">
        <v>11</v>
      </c>
      <c r="E1" s="7" t="s">
        <v>8</v>
      </c>
      <c r="F1" s="9" t="s">
        <v>7</v>
      </c>
      <c r="G1" s="4" t="s">
        <v>12</v>
      </c>
      <c r="H1" s="4" t="s">
        <v>9</v>
      </c>
      <c r="I1" s="4" t="s">
        <v>16</v>
      </c>
    </row>
    <row r="2" spans="1:9" x14ac:dyDescent="0.25">
      <c r="F2" s="3"/>
    </row>
    <row r="3" spans="1:9" x14ac:dyDescent="0.25">
      <c r="F3" s="3"/>
    </row>
    <row r="4" spans="1:9" x14ac:dyDescent="0.25">
      <c r="F4" s="3"/>
    </row>
    <row r="5" spans="1:9" x14ac:dyDescent="0.25">
      <c r="F5" s="3"/>
    </row>
    <row r="6" spans="1:9" x14ac:dyDescent="0.25">
      <c r="F6" s="3"/>
    </row>
    <row r="7" spans="1:9" x14ac:dyDescent="0.25">
      <c r="F7" s="3"/>
    </row>
    <row r="8" spans="1:9" x14ac:dyDescent="0.25">
      <c r="F8" s="3"/>
    </row>
    <row r="9" spans="1:9" x14ac:dyDescent="0.25">
      <c r="F9" s="3"/>
    </row>
  </sheetData>
  <sheetProtection sheet="1" objects="1" scenarios="1" selectLockedCells="1" autoFilter="0" selectUnlockedCells="1"/>
  <autoFilter ref="A1:I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BFORMULARIOHB">
          <controlPr defaultSize="0" autoLine="0" r:id="rId4">
            <anchor>
              <from>
                <xdr:col>10</xdr:col>
                <xdr:colOff>180975</xdr:colOff>
                <xdr:row>4</xdr:row>
                <xdr:rowOff>76200</xdr:rowOff>
              </from>
              <to>
                <xdr:col>12</xdr:col>
                <xdr:colOff>438150</xdr:colOff>
                <xdr:row>12</xdr:row>
                <xdr:rowOff>19050</xdr:rowOff>
              </to>
            </anchor>
          </controlPr>
        </control>
      </mc:Choice>
      <mc:Fallback>
        <control shapeId="7169" r:id="rId3" name="CBFORMULARIOHB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3D7237-FC86-4EBC-9B6C-4098DB72CA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TAQUILLA</vt:lpstr>
      <vt:lpstr>REGISTRO</vt:lpstr>
      <vt:lpstr>RECARGA</vt:lpstr>
      <vt:lpstr>EFECTIVO</vt:lpstr>
      <vt:lpstr>CUADRE</vt:lpstr>
      <vt:lpstr>HISTORIALREGISTRO</vt:lpstr>
      <vt:lpstr>HISTORIALBORRAR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OFICINA</dc:creator>
  <cp:lastModifiedBy>Edgar Rincón Morán</cp:lastModifiedBy>
  <dcterms:created xsi:type="dcterms:W3CDTF">2018-12-02T02:28:10Z</dcterms:created>
  <dcterms:modified xsi:type="dcterms:W3CDTF">2022-06-15T17:43:22Z</dcterms:modified>
</cp:coreProperties>
</file>